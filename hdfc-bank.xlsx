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6"/>
  <workbookPr/>
  <mc:AlternateContent xmlns:mc="http://schemas.openxmlformats.org/markup-compatibility/2006">
    <mc:Choice Requires="x15">
      <x15ac:absPath xmlns:x15ac="http://schemas.microsoft.com/office/spreadsheetml/2010/11/ac" url="S:\CASES\2020 to 2029\2020\9B20N006\"/>
    </mc:Choice>
  </mc:AlternateContent>
  <xr:revisionPtr revIDLastSave="0" documentId="13_ncr:1_{5BC9C467-6D9E-407E-A844-49E7440CF48A}" xr6:coauthVersionLast="36" xr6:coauthVersionMax="36" xr10:uidLastSave="{00000000-0000-0000-0000-000000000000}"/>
  <bookViews>
    <workbookView xWindow="0" yWindow="0" windowWidth="28800" windowHeight="11625" xr2:uid="{00000000-000D-0000-FFFF-FFFF00000000}"/>
  </bookViews>
  <sheets>
    <sheet name="Copyright" sheetId="15" r:id="rId1"/>
    <sheet name="Main" sheetId="1" r:id="rId2"/>
    <sheet name="HDFC" sheetId="2" r:id="rId3"/>
    <sheet name="Yes" sheetId="3" r:id="rId4"/>
    <sheet name="ICICI" sheetId="4" r:id="rId5"/>
    <sheet name="Axis Bank" sheetId="5" r:id="rId6"/>
    <sheet name="SBI" sheetId="6" r:id="rId7"/>
    <sheet name="Ratio Analysis" sheetId="7" r:id="rId8"/>
    <sheet name="DCF Valuation" sheetId="8" r:id="rId9"/>
    <sheet name="Workings " sheetId="9" r:id="rId10"/>
    <sheet name="Exhibit 8" sheetId="11" r:id="rId11"/>
    <sheet name="Exhibit 9" sheetId="12" r:id="rId12"/>
    <sheet name="Exhibit 10" sheetId="13" r:id="rId13"/>
    <sheet name="Exhibit TN-2" sheetId="10" r:id="rId14"/>
  </sheets>
  <definedNames>
    <definedName name="Z_7C37EEDC_D8AA_4F75_97FC_50D5DCC14924_.wvu.Rows" localSheetId="1" hidden="1">Main!$1:$2</definedName>
    <definedName name="Z_9B3B61F6_A1A7_41F3_8F3A_A7753DA80303_.wvu.Rows" localSheetId="1" hidden="1">Main!$1:$2</definedName>
  </definedNames>
  <calcPr calcId="191029"/>
  <customWorkbookViews>
    <customWorkbookView name="Marcel Chiera - Personal View" guid="{9B3B61F6-A1A7-41F3-8F3A-A7753DA80303}" mergeInterval="0" personalView="1" xWindow="67" yWindow="9" windowWidth="1596" windowHeight="1024" activeSheetId="10"/>
    <customWorkbookView name="Alex Bojmelgrin - Personal View" guid="{7C37EEDC-D8AA-4F75-97FC-50D5DCC14924}" mergeInterval="0" personalView="1" maximized="1" xWindow="-8" yWindow="-8" windowWidth="1936" windowHeight="1056" activeSheetId="14"/>
  </customWorkbookViews>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C3" i="9" l="1"/>
  <c r="G8" i="9"/>
  <c r="B8" i="9" s="1"/>
  <c r="C35" i="8" s="1"/>
  <c r="H8" i="9"/>
  <c r="B9" i="9" s="1"/>
  <c r="C12" i="9"/>
  <c r="C51" i="8" s="1"/>
  <c r="B22" i="9"/>
  <c r="C14" i="8" s="1"/>
  <c r="B24" i="9"/>
  <c r="C15" i="8" s="1"/>
  <c r="B26" i="9"/>
  <c r="C9" i="8" s="1"/>
  <c r="C8" i="8"/>
  <c r="B10" i="8"/>
  <c r="B11" i="8"/>
  <c r="B12" i="8"/>
  <c r="B13" i="8"/>
  <c r="C16" i="8"/>
  <c r="C17" i="8" s="1"/>
  <c r="D31" i="8"/>
  <c r="A32" i="8"/>
  <c r="C33" i="8"/>
  <c r="D33" i="8"/>
  <c r="A34" i="8"/>
  <c r="D34" i="8"/>
  <c r="A35" i="8"/>
  <c r="C43" i="8"/>
  <c r="D43" i="8" s="1"/>
  <c r="E43" i="8" s="1"/>
  <c r="F43" i="8" s="1"/>
  <c r="G43" i="8" s="1"/>
  <c r="H43" i="8" s="1"/>
  <c r="I43" i="8" s="1"/>
  <c r="J43" i="8" s="1"/>
  <c r="K43" i="8" s="1"/>
  <c r="L43" i="8" s="1"/>
  <c r="A44" i="8"/>
  <c r="A51" i="8"/>
  <c r="A52" i="8"/>
  <c r="A53" i="8"/>
  <c r="C53" i="8"/>
  <c r="A54" i="8"/>
  <c r="C54" i="8"/>
  <c r="C18" i="8" l="1"/>
  <c r="D35" i="8"/>
  <c r="D36" i="8" s="1"/>
  <c r="C7" i="9"/>
  <c r="C21" i="9"/>
  <c r="C20" i="9"/>
  <c r="C52" i="8"/>
  <c r="C19" i="8"/>
  <c r="C20" i="1"/>
  <c r="C19" i="1"/>
  <c r="C18" i="1"/>
  <c r="B19" i="1"/>
  <c r="B20" i="1"/>
  <c r="B21" i="1"/>
  <c r="B22" i="1"/>
  <c r="B18" i="1"/>
  <c r="C47" i="8" l="1"/>
  <c r="D44" i="8"/>
  <c r="G44" i="8"/>
  <c r="K44" i="8"/>
  <c r="I44" i="8"/>
  <c r="E40" i="8"/>
  <c r="E44" i="8"/>
  <c r="G40" i="8"/>
  <c r="L44" i="8"/>
  <c r="C40" i="8"/>
  <c r="H44" i="8"/>
  <c r="F44" i="8"/>
  <c r="C44" i="8"/>
  <c r="F40" i="8"/>
  <c r="D40" i="8"/>
  <c r="J44" i="8"/>
  <c r="R19" i="1"/>
  <c r="R20" i="1"/>
  <c r="R21" i="1"/>
  <c r="R22" i="1"/>
  <c r="R18" i="1"/>
  <c r="C22" i="1"/>
  <c r="C21" i="1"/>
  <c r="C55" i="8" l="1"/>
  <c r="C56" i="8" s="1"/>
  <c r="C57" i="8" s="1"/>
  <c r="R28" i="1"/>
  <c r="R29" i="1"/>
  <c r="R26" i="1"/>
  <c r="R27" i="1"/>
  <c r="R30" i="1"/>
  <c r="R17" i="1"/>
  <c r="A33" i="3"/>
  <c r="N10" i="1" s="1"/>
  <c r="A33" i="6"/>
  <c r="N13" i="1" s="1"/>
  <c r="A33" i="4"/>
  <c r="N11" i="1"/>
  <c r="A33" i="5"/>
  <c r="N12" i="1" s="1"/>
  <c r="A33" i="2"/>
  <c r="N9" i="1" s="1"/>
  <c r="Q14" i="1"/>
  <c r="J14" i="1"/>
  <c r="G14" i="1"/>
  <c r="D14" i="1"/>
  <c r="A38" i="6"/>
  <c r="A39" i="6" s="1"/>
  <c r="Q13" i="1" s="1"/>
  <c r="A10" i="6"/>
  <c r="A36" i="6" s="1"/>
  <c r="P13" i="1" s="1"/>
  <c r="A35" i="6"/>
  <c r="O13" i="1" s="1"/>
  <c r="A31" i="6"/>
  <c r="M13" i="1" s="1"/>
  <c r="A28" i="6"/>
  <c r="A29" i="6" s="1"/>
  <c r="L13" i="1" s="1"/>
  <c r="A25" i="6"/>
  <c r="K13" i="1" s="1"/>
  <c r="A21" i="6"/>
  <c r="A22" i="6" s="1"/>
  <c r="J13" i="1" s="1"/>
  <c r="A18" i="6"/>
  <c r="I13" i="1" s="1"/>
  <c r="A23" i="6"/>
  <c r="H13" i="1" s="1"/>
  <c r="A14" i="6"/>
  <c r="A15" i="6" s="1"/>
  <c r="A16" i="6" s="1"/>
  <c r="G13" i="1" s="1"/>
  <c r="E13" i="1"/>
  <c r="A6" i="6"/>
  <c r="A7" i="6" s="1"/>
  <c r="A2" i="6"/>
  <c r="A3" i="6" s="1"/>
  <c r="E10" i="1"/>
  <c r="B6" i="6"/>
  <c r="B2" i="6"/>
  <c r="A21" i="3"/>
  <c r="A22" i="3" s="1"/>
  <c r="J10" i="1" s="1"/>
  <c r="A38" i="5"/>
  <c r="A39" i="5" s="1"/>
  <c r="Q12" i="1" s="1"/>
  <c r="A10" i="5"/>
  <c r="A36" i="5" s="1"/>
  <c r="P12" i="1" s="1"/>
  <c r="A35" i="5"/>
  <c r="O12" i="1" s="1"/>
  <c r="A31" i="5"/>
  <c r="M12" i="1"/>
  <c r="A28" i="5"/>
  <c r="A29" i="5" s="1"/>
  <c r="L12" i="1" s="1"/>
  <c r="A25" i="5"/>
  <c r="K12" i="1" s="1"/>
  <c r="A21" i="5"/>
  <c r="A22" i="5"/>
  <c r="J12" i="1" s="1"/>
  <c r="A18" i="5"/>
  <c r="I12" i="1" s="1"/>
  <c r="A18" i="3"/>
  <c r="I10" i="1"/>
  <c r="A23" i="5"/>
  <c r="H12" i="1" s="1"/>
  <c r="A23" i="3"/>
  <c r="H10" i="1" s="1"/>
  <c r="A14" i="5"/>
  <c r="A15" i="5" s="1"/>
  <c r="A16" i="5" s="1"/>
  <c r="G12" i="1" s="1"/>
  <c r="A14" i="3"/>
  <c r="A15" i="3" s="1"/>
  <c r="A16" i="3" s="1"/>
  <c r="G10" i="1" s="1"/>
  <c r="E12" i="1"/>
  <c r="A6" i="5"/>
  <c r="A7" i="5" s="1"/>
  <c r="A2" i="5"/>
  <c r="A3" i="5" s="1"/>
  <c r="B6" i="5"/>
  <c r="B2" i="5"/>
  <c r="A38" i="4"/>
  <c r="A39" i="4" s="1"/>
  <c r="Q11" i="1" s="1"/>
  <c r="A10" i="4"/>
  <c r="A36" i="4" s="1"/>
  <c r="P11" i="1" s="1"/>
  <c r="A35" i="4"/>
  <c r="O11" i="1" s="1"/>
  <c r="A31" i="4"/>
  <c r="M11" i="1" s="1"/>
  <c r="A28" i="4"/>
  <c r="A29" i="4" s="1"/>
  <c r="L11" i="1" s="1"/>
  <c r="A25" i="4"/>
  <c r="K11" i="1" s="1"/>
  <c r="A21" i="4"/>
  <c r="A22" i="4" s="1"/>
  <c r="J11" i="1" s="1"/>
  <c r="A18" i="4"/>
  <c r="I11" i="1" s="1"/>
  <c r="A23" i="4"/>
  <c r="H11" i="1" s="1"/>
  <c r="A15" i="4"/>
  <c r="A16" i="4" s="1"/>
  <c r="G11" i="1" s="1"/>
  <c r="A2" i="4"/>
  <c r="A1" i="4" s="1"/>
  <c r="E11" i="1" s="1"/>
  <c r="A6" i="4"/>
  <c r="A7" i="4" s="1"/>
  <c r="A8" i="4" s="1"/>
  <c r="A9" i="4" s="1"/>
  <c r="D11" i="1" s="1"/>
  <c r="A18" i="2"/>
  <c r="I9" i="1" s="1"/>
  <c r="A14" i="2"/>
  <c r="A15" i="2"/>
  <c r="A16" i="2" s="1"/>
  <c r="G9" i="1" s="1"/>
  <c r="A6" i="2"/>
  <c r="A7" i="2" s="1"/>
  <c r="A2" i="2"/>
  <c r="A3" i="2" s="1"/>
  <c r="E9" i="1"/>
  <c r="B6" i="4"/>
  <c r="B2" i="4"/>
  <c r="A10" i="3"/>
  <c r="A36" i="3" s="1"/>
  <c r="P10" i="1" s="1"/>
  <c r="A35" i="3"/>
  <c r="O10" i="1" s="1"/>
  <c r="A31" i="3"/>
  <c r="M10" i="1" s="1"/>
  <c r="A28" i="3"/>
  <c r="A29" i="3" s="1"/>
  <c r="L10" i="1" s="1"/>
  <c r="A25" i="3"/>
  <c r="K10" i="1" s="1"/>
  <c r="A38" i="3"/>
  <c r="A39" i="3" s="1"/>
  <c r="Q10" i="1" s="1"/>
  <c r="A6" i="3"/>
  <c r="A7" i="3" s="1"/>
  <c r="B6" i="3"/>
  <c r="B2" i="3"/>
  <c r="A2" i="3"/>
  <c r="A3" i="3" s="1"/>
  <c r="A28" i="2"/>
  <c r="A29" i="2" s="1"/>
  <c r="L9" i="1" s="1"/>
  <c r="A31" i="2"/>
  <c r="M9" i="1" s="1"/>
  <c r="A25" i="2"/>
  <c r="K9" i="1" s="1"/>
  <c r="A35" i="2"/>
  <c r="O9" i="1" s="1"/>
  <c r="B2" i="2"/>
  <c r="B6" i="2"/>
  <c r="A38" i="2"/>
  <c r="A39" i="2" s="1"/>
  <c r="Q9" i="1" s="1"/>
  <c r="A36" i="2"/>
  <c r="P9" i="1" s="1"/>
  <c r="A23" i="2"/>
  <c r="H9" i="1" s="1"/>
  <c r="A21" i="2"/>
  <c r="A22" i="2" s="1"/>
  <c r="J9" i="1" s="1"/>
  <c r="A12" i="2"/>
  <c r="F9" i="1" s="1"/>
  <c r="A12" i="3" l="1"/>
  <c r="F10" i="1" s="1"/>
  <c r="A8" i="3"/>
  <c r="A9" i="3" s="1"/>
  <c r="D10" i="1" s="1"/>
  <c r="A12" i="5"/>
  <c r="F12" i="1" s="1"/>
  <c r="P20" i="1"/>
  <c r="A8" i="6"/>
  <c r="A9" i="6" s="1"/>
  <c r="D13" i="1" s="1"/>
  <c r="J18" i="1"/>
  <c r="G19" i="1"/>
  <c r="M18" i="1"/>
  <c r="Q19" i="1"/>
  <c r="I18" i="1"/>
  <c r="G20" i="1"/>
  <c r="Q20" i="1"/>
  <c r="J19" i="1"/>
  <c r="P22" i="1"/>
  <c r="L18" i="1"/>
  <c r="K20" i="1"/>
  <c r="Q21" i="1"/>
  <c r="Q22" i="1"/>
  <c r="L19" i="1"/>
  <c r="I19" i="1"/>
  <c r="K22" i="1"/>
  <c r="O19" i="1"/>
  <c r="J21" i="1"/>
  <c r="J20" i="1"/>
  <c r="M20" i="1"/>
  <c r="H19" i="1"/>
  <c r="M21" i="1"/>
  <c r="G22" i="1"/>
  <c r="J22" i="1"/>
  <c r="M22" i="1"/>
  <c r="G18" i="1"/>
  <c r="H18" i="1"/>
  <c r="P19" i="1"/>
  <c r="A8" i="2"/>
  <c r="A9" i="2" s="1"/>
  <c r="D9" i="1" s="1"/>
  <c r="A12" i="4"/>
  <c r="F11" i="1" s="1"/>
  <c r="H20" i="1"/>
  <c r="G21" i="1"/>
  <c r="E22" i="1"/>
  <c r="E21" i="1"/>
  <c r="E20" i="1"/>
  <c r="E19" i="1"/>
  <c r="E18" i="1"/>
  <c r="H22" i="1"/>
  <c r="P18" i="1"/>
  <c r="O18" i="1"/>
  <c r="K19" i="1"/>
  <c r="M19" i="1"/>
  <c r="O20" i="1"/>
  <c r="O28" i="1" s="1"/>
  <c r="A8" i="5"/>
  <c r="A9" i="5" s="1"/>
  <c r="D12" i="1" s="1"/>
  <c r="H21" i="1"/>
  <c r="I21" i="1"/>
  <c r="K21" i="1"/>
  <c r="O21" i="1"/>
  <c r="O22" i="1"/>
  <c r="Q18" i="1"/>
  <c r="K18" i="1"/>
  <c r="I20" i="1"/>
  <c r="L20" i="1"/>
  <c r="L21" i="1"/>
  <c r="P21" i="1"/>
  <c r="A12" i="6"/>
  <c r="F13" i="1" s="1"/>
  <c r="I22" i="1"/>
  <c r="L22" i="1"/>
  <c r="N22" i="1"/>
  <c r="N21" i="1"/>
  <c r="N20" i="1"/>
  <c r="N19" i="1"/>
  <c r="N18" i="1"/>
  <c r="F22" i="1" l="1"/>
  <c r="E30" i="1" s="1"/>
  <c r="O30" i="1"/>
  <c r="D18" i="1"/>
  <c r="B26" i="1" s="1"/>
  <c r="K26" i="1"/>
  <c r="K28" i="1"/>
  <c r="O27" i="1"/>
  <c r="H27" i="1"/>
  <c r="D20" i="1"/>
  <c r="B28" i="1" s="1"/>
  <c r="K30" i="1"/>
  <c r="H29" i="1"/>
  <c r="H26" i="1"/>
  <c r="H30" i="1"/>
  <c r="K27" i="1"/>
  <c r="O29" i="1"/>
  <c r="K29" i="1"/>
  <c r="H28" i="1"/>
  <c r="D19" i="1"/>
  <c r="B27" i="1" s="1"/>
  <c r="F20" i="1"/>
  <c r="E28" i="1" s="1"/>
  <c r="D21" i="1"/>
  <c r="B29" i="1" s="1"/>
  <c r="O26" i="1"/>
  <c r="F18" i="1"/>
  <c r="E26" i="1" s="1"/>
  <c r="F21" i="1"/>
  <c r="E29" i="1" s="1"/>
  <c r="F19" i="1"/>
  <c r="E27" i="1" s="1"/>
  <c r="D22" i="1"/>
  <c r="B30" i="1" s="1"/>
  <c r="B33" i="1" l="1"/>
  <c r="B37" i="1"/>
  <c r="B35" i="1"/>
  <c r="B36" i="1"/>
  <c r="B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tc={B4814C8C-FD09-44E0-92D1-FD73F7D7A8AB}</author>
  </authors>
  <commentList>
    <comment ref="B2" authorId="0" shapeId="0" xr:uid="{00000000-0006-0000-0B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has been revised to match the Word document.</t>
        </r>
      </text>
    </comment>
  </commentList>
</comments>
</file>

<file path=xl/sharedStrings.xml><?xml version="1.0" encoding="utf-8"?>
<sst xmlns="http://schemas.openxmlformats.org/spreadsheetml/2006/main" count="523" uniqueCount="248">
  <si>
    <t>CRAR</t>
  </si>
  <si>
    <t>Coverage</t>
  </si>
  <si>
    <t>D/E</t>
  </si>
  <si>
    <t>NPA/Net Advances</t>
  </si>
  <si>
    <t>Standard Advances/Total Advance Ratio</t>
  </si>
  <si>
    <t>Total Advances/Total Deposits</t>
  </si>
  <si>
    <t>Busisness Per Employee</t>
  </si>
  <si>
    <t>Profit Per Emp</t>
  </si>
  <si>
    <t>ROA</t>
  </si>
  <si>
    <t>Income Spread/Total Asset</t>
  </si>
  <si>
    <t>Operating Profit /Total Asset</t>
  </si>
  <si>
    <t>Operating expenses by Net Inc</t>
  </si>
  <si>
    <t>Cash Asset/Total Asset</t>
  </si>
  <si>
    <t>Gsec/Total Asset</t>
  </si>
  <si>
    <t>Liquid Asset/ Total Asset Ratio</t>
  </si>
  <si>
    <t>HDFC Bank</t>
  </si>
  <si>
    <t>Yes Bank</t>
  </si>
  <si>
    <t>ICICI Bank</t>
  </si>
  <si>
    <t>Axis Bank</t>
  </si>
  <si>
    <t>SBI</t>
  </si>
  <si>
    <t>NPA</t>
  </si>
  <si>
    <t>Net Worth</t>
  </si>
  <si>
    <t>Gsec</t>
  </si>
  <si>
    <t>TI</t>
  </si>
  <si>
    <t>Gsec/TI</t>
  </si>
  <si>
    <t>Total Advances</t>
  </si>
  <si>
    <t>Gross NPA</t>
  </si>
  <si>
    <t>Net of Gross NPA to TA</t>
  </si>
  <si>
    <t>Standard Advances/ Total Advance Ratio</t>
  </si>
  <si>
    <t>Total Depoists</t>
  </si>
  <si>
    <t>Total Advances By Total Deposists</t>
  </si>
  <si>
    <t>No. of Employees</t>
  </si>
  <si>
    <t>PAT</t>
  </si>
  <si>
    <t>Businees (TA+TD)</t>
  </si>
  <si>
    <t>Business Per Emp</t>
  </si>
  <si>
    <t>Total Assets</t>
  </si>
  <si>
    <t>Interest earned</t>
  </si>
  <si>
    <t>Interest Expended</t>
  </si>
  <si>
    <t>Spread</t>
  </si>
  <si>
    <t>Spread by Total Assets</t>
  </si>
  <si>
    <t>Operating Profit</t>
  </si>
  <si>
    <t>Operating Profit/Total Assets</t>
  </si>
  <si>
    <t xml:space="preserve">Operating Expenses </t>
  </si>
  <si>
    <t>Operating Expenses by NI</t>
  </si>
  <si>
    <t>Networth - NPA</t>
  </si>
  <si>
    <t>Cash Assets</t>
  </si>
  <si>
    <t>Cash Assets by Total Assets</t>
  </si>
  <si>
    <t>Liquid Asset</t>
  </si>
  <si>
    <t>Balance at Short Notice</t>
  </si>
  <si>
    <t>Liquid Asset / TD Ratio</t>
  </si>
  <si>
    <t>Capital</t>
  </si>
  <si>
    <t>Reserves &amp; Surplus</t>
  </si>
  <si>
    <t>Net NPA by Net Advances</t>
  </si>
  <si>
    <t>Bank Name</t>
  </si>
  <si>
    <t>Capital Adequacy</t>
  </si>
  <si>
    <t>Higher the Better</t>
  </si>
  <si>
    <t>Lower the Better</t>
  </si>
  <si>
    <t>Asset Quality</t>
  </si>
  <si>
    <t>Management Quality</t>
  </si>
  <si>
    <t>Earning Ability</t>
  </si>
  <si>
    <t>Liquidity</t>
  </si>
  <si>
    <t>Weights</t>
  </si>
  <si>
    <t>Composite Weights</t>
  </si>
  <si>
    <t>Sensivity to Market Risk</t>
  </si>
  <si>
    <t>Sensitivity To Market Risk</t>
  </si>
  <si>
    <t>CAMELS Score</t>
  </si>
  <si>
    <t>CAMELS  MODEL</t>
  </si>
  <si>
    <t>Actual Values (Table 1 )</t>
  </si>
  <si>
    <t>Table 4</t>
  </si>
  <si>
    <t>Beta (5-yr monthly) Source: Thomson Reuters</t>
  </si>
  <si>
    <t>Intrinsic Value Per Share</t>
  </si>
  <si>
    <t>Value of Equity</t>
  </si>
  <si>
    <t>Value of Firm</t>
  </si>
  <si>
    <t>PV of Terminal Value</t>
  </si>
  <si>
    <t>Present Value of Forecasted FCF for 2024 -  2034</t>
  </si>
  <si>
    <t>N</t>
  </si>
  <si>
    <t>PV of FCF</t>
  </si>
  <si>
    <t>Present Value of Forecasted FCF for 2019 -  2023</t>
  </si>
  <si>
    <t>FCF</t>
  </si>
  <si>
    <t>Fixed Assets</t>
  </si>
  <si>
    <t>PBT</t>
  </si>
  <si>
    <t>Free Cash Flow (FCF)</t>
  </si>
  <si>
    <t>FCF for 2018</t>
  </si>
  <si>
    <t>Growth (Terminal)</t>
  </si>
  <si>
    <t xml:space="preserve">Growth rate </t>
  </si>
  <si>
    <t>WACC(Kc) (Terminal)</t>
  </si>
  <si>
    <t>WACC(Kc) (For Next 15 Years)</t>
  </si>
  <si>
    <t>Cost of Debt After-Tax (Kd)</t>
  </si>
  <si>
    <t>Cost of Debt Before-Tax</t>
  </si>
  <si>
    <t xml:space="preserve">Cost of Equity (Ke) (Terminal Value) </t>
  </si>
  <si>
    <t xml:space="preserve">Cost of Equity (Ke) (For Next 15 Years) </t>
  </si>
  <si>
    <t xml:space="preserve">  Market Risk Premium</t>
  </si>
  <si>
    <t>Beta (Terminal  Value)</t>
  </si>
  <si>
    <t xml:space="preserve">  Beta (For Next 15 Years)</t>
  </si>
  <si>
    <t xml:space="preserve">  Risk-Free-Rate</t>
  </si>
  <si>
    <t xml:space="preserve">  Equity (We)</t>
  </si>
  <si>
    <t xml:space="preserve">  Debt (Wd)</t>
  </si>
  <si>
    <t>Market Values</t>
  </si>
  <si>
    <t>WACC  Calculation</t>
  </si>
  <si>
    <t>Tax Rate (t)</t>
  </si>
  <si>
    <t>Book Value of Debt</t>
  </si>
  <si>
    <t xml:space="preserve">Market Value of Equity </t>
  </si>
  <si>
    <t>Cost of Equity (Terminal Case)</t>
  </si>
  <si>
    <t>Cost of Debt</t>
  </si>
  <si>
    <t>Cost of Equity (Next 15 years)</t>
  </si>
  <si>
    <t>WACC (Terminal)</t>
  </si>
  <si>
    <t>WACC (Next 15 Years)</t>
  </si>
  <si>
    <t>Beta (Terminal)</t>
  </si>
  <si>
    <t>Beta (Next 15 years)</t>
  </si>
  <si>
    <t>RF</t>
  </si>
  <si>
    <t>Risk Premium</t>
  </si>
  <si>
    <t>Cash</t>
  </si>
  <si>
    <t>Net Current Assests</t>
  </si>
  <si>
    <t>CL</t>
  </si>
  <si>
    <t>Net Current Assests (2018)</t>
  </si>
  <si>
    <t>CA</t>
  </si>
  <si>
    <t>Other Assests</t>
  </si>
  <si>
    <t>Net Current Assests (2017)</t>
  </si>
  <si>
    <t>Changes in Working Capital</t>
  </si>
  <si>
    <t>Advances</t>
  </si>
  <si>
    <t>Depreciation</t>
  </si>
  <si>
    <t>Investment</t>
  </si>
  <si>
    <t>:- Fixed assets (2018)</t>
  </si>
  <si>
    <t>:- Fixed assets (2017)</t>
  </si>
  <si>
    <t>Current Assets and Liabilities</t>
  </si>
  <si>
    <t>Capital Expenditure</t>
  </si>
  <si>
    <t xml:space="preserve">PBT </t>
  </si>
  <si>
    <t>Amount (in ₹ )</t>
  </si>
  <si>
    <t xml:space="preserve">Particular </t>
  </si>
  <si>
    <t>Net Non-Performing Assets (%)</t>
  </si>
  <si>
    <t>Return on Equity (%)</t>
  </si>
  <si>
    <t>Return on Assets (%)</t>
  </si>
  <si>
    <t>Current Account Saving Account (%)</t>
  </si>
  <si>
    <t>III. PROFIT AND LOSS</t>
  </si>
  <si>
    <t>Total</t>
  </si>
  <si>
    <t>Taxes</t>
  </si>
  <si>
    <t>Provisions and Contingencies</t>
  </si>
  <si>
    <t>Operating Expenses</t>
  </si>
  <si>
    <t>II. EXPENDITURE</t>
  </si>
  <si>
    <t>Total Income</t>
  </si>
  <si>
    <t>Other Income</t>
  </si>
  <si>
    <t>Interest Earned</t>
  </si>
  <si>
    <t>I. INCOME</t>
  </si>
  <si>
    <t>Adjusted Book Value</t>
  </si>
  <si>
    <t>Book Value</t>
  </si>
  <si>
    <t>Contingent Liabilities</t>
  </si>
  <si>
    <t>Other Assets</t>
  </si>
  <si>
    <t>Capital Work in Progress</t>
  </si>
  <si>
    <t>Lease Adjustment</t>
  </si>
  <si>
    <t>298.4.6</t>
  </si>
  <si>
    <t>Net Block</t>
  </si>
  <si>
    <t>Less: Impairment of Assets</t>
  </si>
  <si>
    <t>Less: Accumulated Depreciation</t>
  </si>
  <si>
    <t>Investments</t>
  </si>
  <si>
    <t>Total Liabilities</t>
  </si>
  <si>
    <t>Borrowings</t>
  </si>
  <si>
    <t>Deposits</t>
  </si>
  <si>
    <t>Total Reserves</t>
  </si>
  <si>
    <t>Share Capital</t>
  </si>
  <si>
    <t>Composite Index: CAMELS (Table 3)</t>
  </si>
  <si>
    <t>Higher is Better</t>
  </si>
  <si>
    <t>Lower is Better</t>
  </si>
  <si>
    <t>Lower is better</t>
  </si>
  <si>
    <t>G-sec/ Investments</t>
  </si>
  <si>
    <t>G-sec/Total Asset</t>
  </si>
  <si>
    <t>Growth ( Next Five Years)</t>
  </si>
  <si>
    <t>Growth ( 10 Years Thereafter)</t>
  </si>
  <si>
    <t>Number of Shares Outstanding</t>
  </si>
  <si>
    <t>Market Price on September 24, 2018</t>
  </si>
  <si>
    <t>Other Liabilities and Provisions</t>
  </si>
  <si>
    <t>Number of Automated Teller Machines</t>
  </si>
  <si>
    <t>Share Warrants and Outstanding shares</t>
  </si>
  <si>
    <t>Bills for Collection</t>
  </si>
  <si>
    <t>Cash and Balance with Reserve Bank of India</t>
  </si>
  <si>
    <t>Balances with Banks and Money at Call</t>
  </si>
  <si>
    <t>Gross Block</t>
  </si>
  <si>
    <t>Profit before Tax</t>
  </si>
  <si>
    <t>Profit after Tax</t>
  </si>
  <si>
    <t>Extra Items</t>
  </si>
  <si>
    <t>Profit Brought Forward</t>
  </si>
  <si>
    <t>Total Profit and Loss</t>
  </si>
  <si>
    <t>Equity Dividend (%)</t>
  </si>
  <si>
    <t>Composite Index: Ratio Wise (Table 2)</t>
  </si>
  <si>
    <t>G-sec</t>
  </si>
  <si>
    <t>G-sec/TI</t>
  </si>
  <si>
    <t>Reserves and Surplus</t>
  </si>
  <si>
    <t>Number of Employees</t>
  </si>
  <si>
    <t>Businees (TA + TD)</t>
  </si>
  <si>
    <t>Financial Year</t>
  </si>
  <si>
    <t>Number of Branches</t>
  </si>
  <si>
    <t>Number of Months</t>
  </si>
  <si>
    <t>Adjustments to Profit and Loss</t>
  </si>
  <si>
    <t>Adjusted Earnings per Share</t>
  </si>
  <si>
    <t>Earnings per Share</t>
  </si>
  <si>
    <t>SOURCES OF FUNDS</t>
  </si>
  <si>
    <t>APPLICATION OF FUNDS</t>
  </si>
  <si>
    <t>State Bank of India</t>
  </si>
  <si>
    <t>Growth (Next Five Years)</t>
  </si>
  <si>
    <t>Growth (10 Years Thereafter)</t>
  </si>
  <si>
    <t>Retention Ratio (1 - Payout Ratio)</t>
  </si>
  <si>
    <t>EXHIBIT TN-2: LONG-TERM GROWTH RATE CALCULATION</t>
  </si>
  <si>
    <t>Return on Equity</t>
  </si>
  <si>
    <t>Estimated Long-Term Growth Rate</t>
  </si>
  <si>
    <t>Source: HDFC Bank Ltd., Investor Presentation, accessed September 30, 2018, www.hdfcbank.com/assets/pdf/Investor_Presentation.pdf.</t>
  </si>
  <si>
    <t>Advances (in ₹ million)</t>
  </si>
  <si>
    <t>Deposits (in ₹ million)</t>
  </si>
  <si>
    <t>Product Number:</t>
  </si>
  <si>
    <t>Title:</t>
  </si>
  <si>
    <t>Prepared by:</t>
  </si>
  <si>
    <t>Last Revised:</t>
  </si>
  <si>
    <t xml:space="preserve">No part of this file may be reproduced, stored in a retrieval system, posted to the Internet, or transmitted in any form or by any means without the permission of Ivey Business School Foundation.  To order copies or request permission to reproduce materials, contact Ivey Publishing, Ivey Business School, Western University, London, Ontario, Canada, N6G 0N1; (t) 519.661.3208; (e) cases@ivey.ca; www.iveycases.com. Our goal is to publish materials of the highest quality; submit any errata to publishcases@ivey.ca. </t>
  </si>
  <si>
    <t>Vandana Gupta</t>
  </si>
  <si>
    <t>Staet Bank of India</t>
  </si>
  <si>
    <t>G-Sec/ Investments</t>
  </si>
  <si>
    <t>G-Sec/Total Asset</t>
  </si>
  <si>
    <r>
      <t>Beta (5-yr monthly) Source:</t>
    </r>
    <r>
      <rPr>
        <i/>
        <sz val="11"/>
        <color theme="1"/>
        <rFont val="Arial"/>
        <family val="2"/>
      </rPr>
      <t xml:space="preserve"> Thomson Reuters</t>
    </r>
  </si>
  <si>
    <t>Net Worth - NPA</t>
  </si>
  <si>
    <t>G-Sec</t>
  </si>
  <si>
    <t>G-Sec/TI</t>
  </si>
  <si>
    <t>Business per Emp</t>
  </si>
  <si>
    <t>Profit per Emp</t>
  </si>
  <si>
    <t>Liquid Asset/TD Ratio</t>
  </si>
  <si>
    <t>Operating Expenses by Net Inc</t>
  </si>
  <si>
    <t>EXHIBIT 8: HDFC BANK KEY FINANCIAL PARAMETERS, 2013-2018</t>
  </si>
  <si>
    <t>2017–18</t>
  </si>
  <si>
    <t>2016–17</t>
  </si>
  <si>
    <t>2015–16</t>
  </si>
  <si>
    <t>2014–15</t>
  </si>
  <si>
    <t>2013–14</t>
  </si>
  <si>
    <t>Net Interest Income (in ₹ million)</t>
  </si>
  <si>
    <t>Date</t>
  </si>
  <si>
    <t>EXHIBIT 10: HDFC BANK BALANCE SHEET,  2013-2018 (IN ₹ MILLION)</t>
  </si>
  <si>
    <r>
      <t xml:space="preserve">EXHIBIT 9: HDFC BANK INCOME STATEMENT, 2013-2018 </t>
    </r>
    <r>
      <rPr>
        <b/>
        <sz val="10"/>
        <color rgb="FF000000"/>
        <rFont val="Arial"/>
        <family val="2"/>
      </rPr>
      <t>(IN ₹ MILLION)</t>
    </r>
  </si>
  <si>
    <t>Return on Assets</t>
  </si>
  <si>
    <t>HDFC Bank: CAMELS Analysis and Discounted Cash Flow Valuation - Instructor Spreadsheet</t>
  </si>
  <si>
    <t>© 2020 Ivey Business School Foundation</t>
  </si>
  <si>
    <t xml:space="preserve">Source: Created by the case author using the framework explained in the case. </t>
  </si>
  <si>
    <t>Source: Created by case authors.</t>
  </si>
  <si>
    <t>Notes: SBI = State Bank of India; ROA = Return on Assets.</t>
  </si>
  <si>
    <t>Notes: N =number of shares ; PV = Present Value ; PBT = Profit before Tax.</t>
  </si>
  <si>
    <t>Notes: PBT = Profit before Tax; RF = Risk-free rate; WACC = weightage average cost of capital; CA = current assets; CL = current liabilities.</t>
  </si>
  <si>
    <t>Source: HDFC Bank Ltd., Experiential Leadership: Enabling Personalized Customer Journeys through Technology, Annual Report 2017–18, accessed September 30, 2018, www.hdfcbank.com/htdocs/common/pdf/corporate/Annual_Report_2017_18.pdf</t>
  </si>
  <si>
    <t>Source: Annual Report of Yes Bank Ltd., accessed on October 3, 2018, www.yesbank.in/pdf/annualreport_2017_18_pdf.</t>
  </si>
  <si>
    <t>Source: Annual Report of ICICI Bank Limited, accessed on October 3, 2018, www.icicibank.com/managed-assets/docs/investor/annual-reports/2018/annual-report-fy2018.pdf.</t>
  </si>
  <si>
    <t>Source: Annual Report Axis Bank Limited, accessed on October 3, 2018, www.axisbank.com/docs/default-source/annual-reports/for-axis-bank/annual-report-for-the-year-2017-2018.pdf.</t>
  </si>
  <si>
    <t>Source: Annual Report State Bank of India Limited, accessed on October 3, 2018, www.sbigroup.co.jp/english/investors/library/annualreport/pdf/2018ar_e-042-103.pdf.</t>
  </si>
  <si>
    <t>This spreadsheet supports the product "HDFC Bank: CAMELS Analysis and Discounted Cash Flow Valuation," product number 9B20N006.</t>
  </si>
  <si>
    <t>5B20N006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</si>
</sst>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_(&quot;$&quot;* #,##0.00_);_(&quot;$&quot;* \(#,##0.00\);_(&quot;$&quot;* &quot;-&quot;??_);_(@_)"/>
    <numFmt numFmtId="165" formatCode="&quot;₹&quot;\ #,##0.00;&quot;₹&quot;\ \-#,##0.00"/>
    <numFmt numFmtId="166" formatCode="&quot;₹&quot;\ #,##0.00;[Red]&quot;₹&quot;\ \-#,##0.00"/>
    <numFmt numFmtId="167" formatCode="_ * #,##0.00_ ;_ * \-#,##0.00_ ;_ * &quot;-&quot;??_ ;_ @_ "/>
    <numFmt numFmtId="168" formatCode="0.0000"/>
    <numFmt numFmtId="169" formatCode="0.00000"/>
    <numFmt numFmtId="170" formatCode="0.0%"/>
    <numFmt numFmtId="171" formatCode="0.000%"/>
    <numFmt numFmtId="172" formatCode="&quot;₹&quot;\ #,##0.00"/>
    <numFmt numFmtId="173" formatCode="_-* #,##0.0_-;\-* #,##0.0_-;_-* &quot;-&quot;??_-;_-@_-"/>
    <numFmt numFmtId="174" formatCode="_-* #,##0_-;\-* #,##0_-;_-* &quot;-&quot;??_-;_-@_-"/>
    <numFmt numFmtId="175" formatCode="0.000"/>
    <numFmt numFmtId="176" formatCode="_-&quot;$&quot;* #,##0_-;\-&quot;$&quot;* #,##0_-;_-&quot;$&quot;* &quot;-&quot;??_-;_-@_-"/>
    <numFmt numFmtId="177" formatCode="&quot;₹&quot;\ #,##0.0"/>
    <numFmt numFmtId="178" formatCode="&quot;₹&quot;\ #,##0.0;&quot;₹&quot;\ \-#,##0.0"/>
    <numFmt numFmtId="179" formatCode="_(* #,##0_);_(* \(#,##0\);_(* &quot;-&quot;??_);_(@_)"/>
    <numFmt numFmtId="180" formatCode="#\F"/>
    <numFmt numFmtId="181" formatCode="#,##0.0;\-#,##0.0"/>
    <numFmt numFmtId="182" formatCode="#,##0.0"/>
    <numFmt numFmtId="183" formatCode="0&quot;F&quot;"/>
    <numFmt numFmtId="184" formatCode="#,##0.000"/>
    <numFmt numFmtId="185" formatCode="mmm\ yyyy"/>
    <numFmt numFmtId="186" formatCode="[$-409]mmmm\ d\,\ yyyy;@"/>
    <numFmt numFmtId="187" formatCode=";\(&quot;₹&quot;\ #,##0.00\);"/>
    <numFmt numFmtId="188" formatCode=";\(#,##0.000\);"/>
    <numFmt numFmtId="189" formatCode=";\([$₹]\ #,##0.00\);"/>
  </numFmts>
  <fonts count="23" x14ac:knownFonts="1">
    <font>
      <sz val="11"/>
      <color theme="1"/>
      <name val="Calibri"/>
      <family val="2"/>
      <scheme val="minor"/>
    </font>
    <font>
      <sz val="11"/>
      <color theme="1"/>
      <name val="Calibri"/>
      <family val="2"/>
      <scheme val="minor"/>
    </font>
    <font>
      <i/>
      <sz val="11"/>
      <color theme="1"/>
      <name val="Calibri"/>
      <family val="2"/>
      <scheme val="minor"/>
    </font>
    <font>
      <sz val="10"/>
      <color theme="1"/>
      <name val="Arial"/>
      <family val="2"/>
    </font>
    <font>
      <u/>
      <sz val="10"/>
      <name val="Arial"/>
      <family val="2"/>
    </font>
    <font>
      <sz val="10"/>
      <name val="Arial"/>
      <family val="2"/>
    </font>
    <font>
      <b/>
      <sz val="10"/>
      <name val="Arial"/>
      <family val="2"/>
    </font>
    <font>
      <b/>
      <u/>
      <sz val="10"/>
      <name val="Arial"/>
      <family val="2"/>
    </font>
    <font>
      <i/>
      <sz val="10"/>
      <color theme="1"/>
      <name val="Arial"/>
      <family val="2"/>
    </font>
    <font>
      <sz val="10"/>
      <color theme="1"/>
      <name val="Times New Roman"/>
      <family val="1"/>
    </font>
    <font>
      <sz val="8.5"/>
      <color theme="1"/>
      <name val="Arial"/>
      <family val="2"/>
    </font>
    <font>
      <b/>
      <sz val="10"/>
      <color theme="1"/>
      <name val="Arial"/>
      <family val="2"/>
    </font>
    <font>
      <b/>
      <sz val="10"/>
      <color rgb="FF000000"/>
      <name val="Arial"/>
      <family val="2"/>
    </font>
    <font>
      <sz val="11"/>
      <color theme="1"/>
      <name val="Arial"/>
      <family val="2"/>
    </font>
    <font>
      <b/>
      <sz val="11"/>
      <color theme="1"/>
      <name val="Arial"/>
      <family val="2"/>
    </font>
    <font>
      <sz val="10"/>
      <color rgb="FF000000"/>
      <name val="Arial"/>
      <family val="2"/>
    </font>
    <font>
      <u/>
      <sz val="11"/>
      <color theme="1"/>
      <name val="Arial"/>
      <family val="2"/>
    </font>
    <font>
      <sz val="11"/>
      <name val="Arial"/>
      <family val="2"/>
    </font>
    <font>
      <sz val="20"/>
      <color theme="1"/>
      <name val="Arial"/>
      <family val="2"/>
    </font>
    <font>
      <i/>
      <sz val="11"/>
      <color theme="1"/>
      <name val="Arial"/>
      <family val="2"/>
    </font>
    <font>
      <sz val="14"/>
      <color theme="1"/>
      <name val="Arial"/>
      <family val="2"/>
    </font>
    <font>
      <sz val="11"/>
      <color theme="1"/>
      <name val="Calibri"/>
      <family val="2"/>
    </font>
    <font>
      <sz val="8.5"/>
      <name val="Arial"/>
      <family val="2"/>
    </font>
  </fonts>
  <fills count="3">
    <fill>
      <patternFill patternType="none"/>
    </fill>
    <fill>
      <patternFill patternType="gray125"/>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style="medium">
        <color rgb="FFE5EBF4"/>
      </top>
      <bottom/>
      <diagonal/>
    </border>
    <border>
      <left style="thin">
        <color auto="1"/>
      </left>
      <right style="thin">
        <color auto="1"/>
      </right>
      <top/>
      <bottom/>
      <diagonal/>
    </border>
    <border>
      <left/>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cellStyleXfs>
  <cellXfs count="206">
    <xf numFmtId="0" fontId="0" fillId="0" borderId="0" xfId="0"/>
    <xf numFmtId="0" fontId="0" fillId="0" borderId="0" xfId="0" applyBorder="1"/>
    <xf numFmtId="0" fontId="9" fillId="0" borderId="0" xfId="0" applyFont="1" applyAlignment="1">
      <alignment vertical="center"/>
    </xf>
    <xf numFmtId="0" fontId="3" fillId="0" borderId="19" xfId="0" applyFont="1" applyBorder="1" applyAlignment="1">
      <alignment horizontal="right" vertical="center"/>
    </xf>
    <xf numFmtId="0" fontId="3" fillId="0" borderId="20" xfId="0" applyFont="1" applyBorder="1" applyAlignment="1">
      <alignment horizontal="justify" vertical="center"/>
    </xf>
    <xf numFmtId="0" fontId="11" fillId="0" borderId="21" xfId="0" applyFont="1" applyBorder="1" applyAlignment="1">
      <alignment horizontal="center" vertical="center"/>
    </xf>
    <xf numFmtId="0" fontId="11" fillId="0" borderId="0" xfId="0" applyFont="1" applyAlignment="1">
      <alignment horizontal="center" vertical="center"/>
    </xf>
    <xf numFmtId="0" fontId="11" fillId="0" borderId="20" xfId="0" applyFont="1" applyBorder="1" applyAlignment="1">
      <alignment horizontal="justify" vertical="center"/>
    </xf>
    <xf numFmtId="0" fontId="11" fillId="0" borderId="19" xfId="0" applyFont="1" applyBorder="1" applyAlignment="1">
      <alignment horizontal="center" vertical="center"/>
    </xf>
    <xf numFmtId="0" fontId="3" fillId="0" borderId="19" xfId="0" applyFont="1" applyBorder="1" applyAlignment="1">
      <alignment horizontal="right" vertical="center" wrapText="1"/>
    </xf>
    <xf numFmtId="184" fontId="3" fillId="0" borderId="19" xfId="0" applyNumberFormat="1" applyFont="1" applyBorder="1" applyAlignment="1">
      <alignment horizontal="right" vertical="center"/>
    </xf>
    <xf numFmtId="4" fontId="3" fillId="0" borderId="19" xfId="0" applyNumberFormat="1" applyFont="1" applyBorder="1" applyAlignment="1">
      <alignment horizontal="right" vertical="center"/>
    </xf>
    <xf numFmtId="3" fontId="3" fillId="0" borderId="19" xfId="0" applyNumberFormat="1" applyFont="1" applyBorder="1" applyAlignment="1">
      <alignment horizontal="right" vertical="center"/>
    </xf>
    <xf numFmtId="184" fontId="11" fillId="0" borderId="19" xfId="0" applyNumberFormat="1" applyFont="1" applyBorder="1" applyAlignment="1">
      <alignment horizontal="right" vertical="center"/>
    </xf>
    <xf numFmtId="175" fontId="3" fillId="0" borderId="19" xfId="0" applyNumberFormat="1" applyFont="1" applyBorder="1" applyAlignment="1">
      <alignment horizontal="right" vertical="center" wrapText="1"/>
    </xf>
    <xf numFmtId="184" fontId="3" fillId="0" borderId="19" xfId="0" applyNumberFormat="1" applyFont="1" applyBorder="1" applyAlignment="1">
      <alignment horizontal="right" vertical="center" wrapText="1"/>
    </xf>
    <xf numFmtId="184" fontId="11" fillId="0" borderId="19" xfId="0" applyNumberFormat="1" applyFont="1" applyBorder="1" applyAlignment="1">
      <alignment horizontal="right" vertical="center" wrapText="1"/>
    </xf>
    <xf numFmtId="185" fontId="11" fillId="0" borderId="21" xfId="0" applyNumberFormat="1" applyFont="1" applyBorder="1" applyAlignment="1">
      <alignment horizontal="center" vertical="center"/>
    </xf>
    <xf numFmtId="185" fontId="11" fillId="0" borderId="21" xfId="0" applyNumberFormat="1" applyFont="1" applyBorder="1" applyAlignment="1">
      <alignment horizontal="center" vertical="center" wrapText="1"/>
    </xf>
    <xf numFmtId="0" fontId="0" fillId="0" borderId="0" xfId="0" applyAlignment="1">
      <alignment horizontal="centerContinuous"/>
    </xf>
    <xf numFmtId="0" fontId="11" fillId="0" borderId="0" xfId="0" applyFont="1" applyAlignment="1">
      <alignment horizontal="centerContinuous" vertical="center"/>
    </xf>
    <xf numFmtId="0" fontId="10" fillId="0" borderId="0" xfId="0" applyFont="1" applyAlignment="1">
      <alignment vertical="center"/>
    </xf>
    <xf numFmtId="0" fontId="0" fillId="0" borderId="0" xfId="0" applyAlignment="1"/>
    <xf numFmtId="0" fontId="10" fillId="0" borderId="0" xfId="0" applyFont="1" applyAlignment="1">
      <alignment horizontal="left" vertical="center"/>
    </xf>
    <xf numFmtId="0" fontId="13" fillId="0" borderId="0" xfId="0" applyFont="1"/>
    <xf numFmtId="0" fontId="13" fillId="0" borderId="22" xfId="0" applyFont="1" applyBorder="1" applyAlignment="1">
      <alignment vertical="top"/>
    </xf>
    <xf numFmtId="0" fontId="13" fillId="0" borderId="19" xfId="0" applyFont="1" applyBorder="1" applyAlignment="1">
      <alignment vertical="top"/>
    </xf>
    <xf numFmtId="184" fontId="13" fillId="0" borderId="19" xfId="0" applyNumberFormat="1" applyFont="1" applyBorder="1" applyAlignment="1">
      <alignment vertical="top"/>
    </xf>
    <xf numFmtId="0" fontId="13" fillId="0" borderId="0" xfId="0" applyFont="1" applyAlignment="1">
      <alignment horizontal="centerContinuous"/>
    </xf>
    <xf numFmtId="0" fontId="13" fillId="0" borderId="19" xfId="0" applyFont="1" applyBorder="1" applyAlignment="1">
      <alignment vertical="top" wrapText="1"/>
    </xf>
    <xf numFmtId="184" fontId="13" fillId="0" borderId="19" xfId="0" applyNumberFormat="1" applyFont="1" applyBorder="1" applyAlignment="1">
      <alignment vertical="top" wrapText="1"/>
    </xf>
    <xf numFmtId="0" fontId="14" fillId="0" borderId="0" xfId="0" applyFont="1"/>
    <xf numFmtId="0" fontId="3" fillId="0" borderId="18" xfId="0" applyFont="1" applyBorder="1" applyAlignment="1">
      <alignment vertical="center" wrapText="1"/>
    </xf>
    <xf numFmtId="0" fontId="11" fillId="0" borderId="17" xfId="0" applyFont="1" applyBorder="1" applyAlignment="1">
      <alignment horizontal="center" vertical="center" wrapText="1"/>
    </xf>
    <xf numFmtId="0" fontId="3" fillId="0" borderId="16" xfId="0" applyFont="1" applyBorder="1" applyAlignment="1">
      <alignment vertical="center" wrapText="1"/>
    </xf>
    <xf numFmtId="0" fontId="3" fillId="0" borderId="15" xfId="0" applyFont="1" applyBorder="1" applyAlignment="1">
      <alignment horizontal="right" vertical="center" wrapText="1"/>
    </xf>
    <xf numFmtId="10" fontId="3" fillId="0" borderId="15" xfId="0" applyNumberFormat="1" applyFont="1" applyBorder="1" applyAlignment="1">
      <alignment horizontal="right" vertical="center" wrapText="1"/>
    </xf>
    <xf numFmtId="172" fontId="13" fillId="0" borderId="0" xfId="0" applyNumberFormat="1" applyFont="1"/>
    <xf numFmtId="0" fontId="14" fillId="0" borderId="14" xfId="0" applyFont="1" applyBorder="1"/>
    <xf numFmtId="172" fontId="13" fillId="0" borderId="13" xfId="0" applyNumberFormat="1" applyFont="1" applyBorder="1"/>
    <xf numFmtId="172" fontId="13" fillId="0" borderId="12" xfId="0" applyNumberFormat="1" applyFont="1" applyBorder="1"/>
    <xf numFmtId="0" fontId="14" fillId="0" borderId="11" xfId="0" applyFont="1" applyBorder="1"/>
    <xf numFmtId="0" fontId="13" fillId="0" borderId="10" xfId="0" applyFont="1" applyBorder="1"/>
    <xf numFmtId="172" fontId="14" fillId="0" borderId="9" xfId="0" applyNumberFormat="1" applyFont="1" applyBorder="1"/>
    <xf numFmtId="0" fontId="14" fillId="0" borderId="8" xfId="0" applyFont="1" applyBorder="1"/>
    <xf numFmtId="0" fontId="13" fillId="0" borderId="0" xfId="0" applyFont="1" applyBorder="1"/>
    <xf numFmtId="172" fontId="14" fillId="0" borderId="7" xfId="0" applyNumberFormat="1" applyFont="1" applyBorder="1"/>
    <xf numFmtId="0" fontId="13" fillId="0" borderId="8" xfId="0" applyFont="1" applyBorder="1"/>
    <xf numFmtId="10" fontId="13" fillId="0" borderId="0" xfId="1" applyNumberFormat="1" applyFont="1" applyBorder="1"/>
    <xf numFmtId="172" fontId="13" fillId="0" borderId="7" xfId="0" applyNumberFormat="1" applyFont="1" applyBorder="1"/>
    <xf numFmtId="4" fontId="13" fillId="0" borderId="0" xfId="0" applyNumberFormat="1" applyFont="1" applyBorder="1"/>
    <xf numFmtId="172" fontId="13" fillId="0" borderId="0" xfId="0" applyNumberFormat="1" applyFont="1" applyBorder="1"/>
    <xf numFmtId="10" fontId="13" fillId="0" borderId="7" xfId="1" applyNumberFormat="1" applyFont="1" applyBorder="1"/>
    <xf numFmtId="1" fontId="13" fillId="0" borderId="0" xfId="1" applyNumberFormat="1" applyFont="1" applyBorder="1"/>
    <xf numFmtId="0" fontId="13" fillId="0" borderId="11" xfId="0" applyFont="1" applyBorder="1"/>
    <xf numFmtId="0" fontId="13" fillId="0" borderId="9" xfId="0" applyFont="1" applyBorder="1"/>
    <xf numFmtId="0" fontId="13" fillId="0" borderId="6" xfId="0" applyFont="1" applyBorder="1"/>
    <xf numFmtId="0" fontId="13" fillId="0" borderId="4" xfId="0" applyFont="1" applyBorder="1"/>
    <xf numFmtId="172" fontId="13" fillId="0" borderId="4" xfId="0" applyNumberFormat="1" applyFont="1" applyBorder="1"/>
    <xf numFmtId="172" fontId="13" fillId="0" borderId="5" xfId="0" applyNumberFormat="1" applyFont="1" applyBorder="1"/>
    <xf numFmtId="0" fontId="14" fillId="0" borderId="0" xfId="0" applyFont="1" applyAlignment="1">
      <alignment horizontal="right"/>
    </xf>
    <xf numFmtId="172" fontId="13" fillId="0" borderId="10" xfId="0" applyNumberFormat="1" applyFont="1" applyBorder="1"/>
    <xf numFmtId="172" fontId="13" fillId="0" borderId="9" xfId="0" applyNumberFormat="1" applyFont="1" applyBorder="1"/>
    <xf numFmtId="172" fontId="13" fillId="0" borderId="0" xfId="3" applyNumberFormat="1" applyFont="1" applyBorder="1"/>
    <xf numFmtId="0" fontId="14" fillId="0" borderId="6" xfId="0" applyFont="1" applyBorder="1"/>
    <xf numFmtId="10" fontId="13" fillId="0" borderId="5" xfId="1" applyNumberFormat="1" applyFont="1" applyBorder="1"/>
    <xf numFmtId="10" fontId="13" fillId="0" borderId="0" xfId="1" applyNumberFormat="1" applyFont="1"/>
    <xf numFmtId="172" fontId="14" fillId="0" borderId="0" xfId="0" applyNumberFormat="1" applyFont="1"/>
    <xf numFmtId="0" fontId="13" fillId="0" borderId="1" xfId="0" applyFont="1" applyBorder="1"/>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10" fontId="13" fillId="0" borderId="1" xfId="0" applyNumberFormat="1" applyFont="1" applyBorder="1"/>
    <xf numFmtId="166" fontId="13" fillId="0" borderId="1" xfId="0" applyNumberFormat="1" applyFont="1" applyBorder="1"/>
    <xf numFmtId="169" fontId="13" fillId="0" borderId="0" xfId="0" applyNumberFormat="1" applyFont="1"/>
    <xf numFmtId="2" fontId="14" fillId="0" borderId="0" xfId="0" applyNumberFormat="1" applyFont="1"/>
    <xf numFmtId="2" fontId="13" fillId="0" borderId="0" xfId="0" applyNumberFormat="1" applyFont="1"/>
    <xf numFmtId="168" fontId="14" fillId="0" borderId="0" xfId="0" applyNumberFormat="1" applyFont="1"/>
    <xf numFmtId="2" fontId="17" fillId="0" borderId="0" xfId="0" applyNumberFormat="1" applyFont="1"/>
    <xf numFmtId="0" fontId="14" fillId="0" borderId="0" xfId="0" applyFont="1" applyAlignment="1">
      <alignment horizontal="center"/>
    </xf>
    <xf numFmtId="0" fontId="19" fillId="0" borderId="0" xfId="0" applyFont="1" applyAlignment="1">
      <alignment horizontal="center" wrapText="1"/>
    </xf>
    <xf numFmtId="0" fontId="19" fillId="0" borderId="0" xfId="0" applyFont="1" applyAlignment="1">
      <alignment horizontal="center" vertical="center" wrapText="1"/>
    </xf>
    <xf numFmtId="0" fontId="13" fillId="0" borderId="0" xfId="0" applyFont="1" applyAlignment="1">
      <alignment wrapText="1"/>
    </xf>
    <xf numFmtId="171" fontId="13" fillId="0" borderId="0" xfId="1" applyNumberFormat="1" applyFont="1"/>
    <xf numFmtId="168" fontId="13" fillId="0" borderId="0" xfId="0" applyNumberFormat="1" applyFont="1"/>
    <xf numFmtId="40" fontId="3" fillId="0" borderId="2" xfId="0" applyNumberFormat="1" applyFont="1" applyBorder="1" applyAlignment="1">
      <alignment horizontal="right" vertical="top" wrapText="1"/>
    </xf>
    <xf numFmtId="40" fontId="15" fillId="0" borderId="2" xfId="0" applyNumberFormat="1" applyFont="1" applyBorder="1" applyAlignment="1">
      <alignment horizontal="right" vertical="top" wrapText="1"/>
    </xf>
    <xf numFmtId="10" fontId="14" fillId="0" borderId="0" xfId="0" applyNumberFormat="1" applyFont="1"/>
    <xf numFmtId="10" fontId="13" fillId="0" borderId="0" xfId="0" applyNumberFormat="1" applyFont="1"/>
    <xf numFmtId="10" fontId="13" fillId="0" borderId="0" xfId="0" applyNumberFormat="1" applyFont="1" applyAlignment="1">
      <alignment horizontal="center" vertical="center" wrapText="1"/>
    </xf>
    <xf numFmtId="10" fontId="14" fillId="0" borderId="0" xfId="0" applyNumberFormat="1" applyFont="1" applyAlignment="1">
      <alignment horizontal="left" vertical="center" wrapText="1"/>
    </xf>
    <xf numFmtId="168" fontId="13" fillId="0" borderId="0" xfId="0" applyNumberFormat="1" applyFont="1" applyAlignment="1">
      <alignment horizontal="center" vertical="center" wrapText="1"/>
    </xf>
    <xf numFmtId="168" fontId="17" fillId="0" borderId="0" xfId="0" applyNumberFormat="1" applyFont="1" applyFill="1" applyAlignment="1">
      <alignment horizontal="center" vertical="center" wrapText="1"/>
    </xf>
    <xf numFmtId="168" fontId="13" fillId="0" borderId="0" xfId="1" applyNumberFormat="1" applyFont="1" applyAlignment="1">
      <alignment horizontal="center" vertical="center" wrapText="1"/>
    </xf>
    <xf numFmtId="168" fontId="13" fillId="0" borderId="0" xfId="0" applyNumberFormat="1" applyFont="1" applyAlignment="1">
      <alignment horizontal="center"/>
    </xf>
    <xf numFmtId="0" fontId="14" fillId="0" borderId="1" xfId="0" applyFont="1" applyBorder="1" applyAlignment="1">
      <alignment horizontal="center"/>
    </xf>
    <xf numFmtId="0" fontId="14" fillId="0" borderId="1" xfId="0" applyFont="1" applyBorder="1"/>
    <xf numFmtId="170" fontId="20" fillId="0" borderId="1" xfId="1" applyNumberFormat="1" applyFont="1" applyBorder="1" applyAlignment="1">
      <alignment horizontal="center"/>
    </xf>
    <xf numFmtId="0" fontId="0" fillId="0" borderId="0" xfId="0" applyBorder="1" applyAlignment="1">
      <alignment horizontal="left" vertical="top"/>
    </xf>
    <xf numFmtId="0" fontId="21" fillId="0" borderId="0" xfId="0" applyFont="1" applyBorder="1"/>
    <xf numFmtId="0" fontId="0" fillId="0" borderId="0" xfId="0" applyFill="1" applyBorder="1" applyAlignment="1">
      <alignment vertical="top" wrapText="1"/>
    </xf>
    <xf numFmtId="0" fontId="11" fillId="0" borderId="22" xfId="0" applyFont="1" applyBorder="1" applyAlignment="1">
      <alignment horizontal="left" vertical="center"/>
    </xf>
    <xf numFmtId="0" fontId="3" fillId="0" borderId="20" xfId="0" applyFont="1" applyBorder="1" applyAlignment="1">
      <alignment horizontal="left" vertical="center"/>
    </xf>
    <xf numFmtId="0" fontId="13" fillId="0" borderId="22" xfId="0" applyFont="1" applyBorder="1"/>
    <xf numFmtId="0" fontId="13" fillId="0" borderId="22" xfId="0" applyFont="1" applyBorder="1" applyAlignment="1">
      <alignment horizontal="left" vertical="top" wrapText="1"/>
    </xf>
    <xf numFmtId="0" fontId="11" fillId="0" borderId="20" xfId="0" applyFont="1" applyBorder="1" applyAlignment="1">
      <alignment horizontal="left" vertical="center" wrapText="1"/>
    </xf>
    <xf numFmtId="0" fontId="3" fillId="0" borderId="20" xfId="0" applyFont="1" applyBorder="1" applyAlignment="1">
      <alignment horizontal="left" vertical="center" wrapText="1"/>
    </xf>
    <xf numFmtId="0" fontId="0" fillId="2" borderId="0" xfId="0" applyFill="1" applyBorder="1" applyAlignment="1">
      <alignment vertical="top"/>
    </xf>
    <xf numFmtId="0" fontId="0" fillId="2" borderId="0" xfId="0" applyFill="1" applyBorder="1" applyAlignment="1">
      <alignment vertical="top" wrapText="1"/>
    </xf>
    <xf numFmtId="0" fontId="0" fillId="2" borderId="0" xfId="0" applyFont="1" applyFill="1" applyBorder="1" applyAlignment="1">
      <alignment vertical="top" wrapText="1"/>
    </xf>
    <xf numFmtId="0" fontId="0" fillId="2" borderId="0" xfId="0" applyFill="1" applyBorder="1"/>
    <xf numFmtId="186" fontId="0" fillId="2" borderId="0" xfId="0" applyNumberFormat="1" applyFill="1" applyBorder="1" applyAlignment="1">
      <alignment horizontal="left"/>
    </xf>
    <xf numFmtId="0" fontId="16" fillId="0" borderId="0" xfId="0" applyFont="1" applyFill="1"/>
    <xf numFmtId="0" fontId="13" fillId="0" borderId="0" xfId="0" applyFont="1" applyFill="1"/>
    <xf numFmtId="177" fontId="13" fillId="0" borderId="0" xfId="0" applyNumberFormat="1" applyFont="1" applyFill="1"/>
    <xf numFmtId="170" fontId="13" fillId="0" borderId="0" xfId="1" applyNumberFormat="1" applyFont="1" applyFill="1"/>
    <xf numFmtId="0" fontId="4" fillId="0" borderId="0" xfId="0" applyFont="1" applyFill="1"/>
    <xf numFmtId="0" fontId="3" fillId="0" borderId="0" xfId="0" applyFont="1" applyFill="1"/>
    <xf numFmtId="176" fontId="3" fillId="0" borderId="0" xfId="0" applyNumberFormat="1" applyFont="1" applyFill="1" applyBorder="1"/>
    <xf numFmtId="10" fontId="3" fillId="0" borderId="0" xfId="1" applyNumberFormat="1" applyFont="1" applyFill="1" applyBorder="1"/>
    <xf numFmtId="0" fontId="5" fillId="0" borderId="0" xfId="0" applyFont="1" applyFill="1"/>
    <xf numFmtId="173" fontId="5" fillId="0" borderId="0" xfId="3" applyNumberFormat="1" applyFont="1" applyFill="1"/>
    <xf numFmtId="177" fontId="5" fillId="0" borderId="0" xfId="1" applyNumberFormat="1" applyFont="1" applyFill="1"/>
    <xf numFmtId="0" fontId="5" fillId="0" borderId="0" xfId="0" quotePrefix="1" applyFont="1" applyFill="1"/>
    <xf numFmtId="170" fontId="5" fillId="0" borderId="0" xfId="1" applyNumberFormat="1" applyFont="1" applyFill="1"/>
    <xf numFmtId="167" fontId="3" fillId="0" borderId="0" xfId="3" applyNumberFormat="1" applyFont="1" applyFill="1" applyBorder="1"/>
    <xf numFmtId="0" fontId="5" fillId="0" borderId="0" xfId="0" quotePrefix="1" applyFont="1" applyFill="1" applyAlignment="1">
      <alignment horizontal="left" indent="1"/>
    </xf>
    <xf numFmtId="10" fontId="5" fillId="0" borderId="0" xfId="1" applyNumberFormat="1" applyFont="1" applyFill="1"/>
    <xf numFmtId="10" fontId="5" fillId="0" borderId="1" xfId="1" applyNumberFormat="1" applyFont="1" applyFill="1" applyBorder="1"/>
    <xf numFmtId="0" fontId="3" fillId="0" borderId="0" xfId="0" applyFont="1" applyFill="1" applyBorder="1"/>
    <xf numFmtId="10" fontId="3" fillId="0" borderId="1" xfId="1" applyNumberFormat="1" applyFont="1" applyFill="1" applyBorder="1"/>
    <xf numFmtId="183" fontId="6" fillId="0" borderId="0" xfId="0" applyNumberFormat="1" applyFont="1" applyFill="1" applyBorder="1"/>
    <xf numFmtId="170" fontId="3" fillId="0" borderId="0" xfId="0" applyNumberFormat="1" applyFont="1" applyFill="1"/>
    <xf numFmtId="0" fontId="13" fillId="0" borderId="0" xfId="0" applyFont="1" applyFill="1" applyBorder="1"/>
    <xf numFmtId="10" fontId="13" fillId="0" borderId="0" xfId="1" applyNumberFormat="1" applyFont="1" applyFill="1" applyBorder="1"/>
    <xf numFmtId="0" fontId="6" fillId="0" borderId="4" xfId="0" applyFont="1" applyFill="1" applyBorder="1"/>
    <xf numFmtId="0" fontId="6" fillId="0" borderId="4" xfId="0" applyNumberFormat="1" applyFont="1" applyFill="1" applyBorder="1"/>
    <xf numFmtId="183" fontId="6" fillId="0" borderId="4" xfId="0" applyNumberFormat="1" applyFont="1" applyFill="1" applyBorder="1"/>
    <xf numFmtId="0" fontId="6" fillId="0" borderId="0" xfId="0" applyFont="1" applyFill="1"/>
    <xf numFmtId="3" fontId="3" fillId="0" borderId="0" xfId="0" applyNumberFormat="1" applyFont="1" applyFill="1"/>
    <xf numFmtId="182" fontId="3" fillId="0" borderId="0" xfId="0" applyNumberFormat="1" applyFont="1" applyFill="1"/>
    <xf numFmtId="174" fontId="3" fillId="0" borderId="0" xfId="3" applyNumberFormat="1" applyFont="1" applyFill="1"/>
    <xf numFmtId="182" fontId="3" fillId="0" borderId="0" xfId="3" applyNumberFormat="1" applyFont="1" applyFill="1"/>
    <xf numFmtId="0" fontId="8" fillId="0" borderId="0" xfId="0" quotePrefix="1" applyFont="1" applyFill="1" applyAlignment="1">
      <alignment horizontal="left" indent="1"/>
    </xf>
    <xf numFmtId="0" fontId="8" fillId="0" borderId="0" xfId="0" applyFont="1" applyFill="1" applyBorder="1"/>
    <xf numFmtId="177" fontId="8" fillId="0" borderId="0" xfId="0" applyNumberFormat="1" applyFont="1" applyFill="1" applyBorder="1" applyAlignment="1">
      <alignment horizontal="center"/>
    </xf>
    <xf numFmtId="182" fontId="8" fillId="0" borderId="0" xfId="0" applyNumberFormat="1" applyFont="1" applyFill="1" applyBorder="1"/>
    <xf numFmtId="170" fontId="8" fillId="0" borderId="0" xfId="0" applyNumberFormat="1" applyFont="1" applyFill="1" applyBorder="1"/>
    <xf numFmtId="179" fontId="3" fillId="0" borderId="0" xfId="0" applyNumberFormat="1" applyFont="1" applyFill="1" applyBorder="1"/>
    <xf numFmtId="182" fontId="3" fillId="0" borderId="0" xfId="0" applyNumberFormat="1" applyFont="1" applyFill="1" applyBorder="1"/>
    <xf numFmtId="177" fontId="3" fillId="0" borderId="0" xfId="0" applyNumberFormat="1" applyFont="1" applyFill="1" applyBorder="1"/>
    <xf numFmtId="180" fontId="6" fillId="0" borderId="4" xfId="0" applyNumberFormat="1" applyFont="1" applyFill="1" applyBorder="1"/>
    <xf numFmtId="181" fontId="13" fillId="0" borderId="0" xfId="0" applyNumberFormat="1" applyFont="1" applyFill="1"/>
    <xf numFmtId="179" fontId="3" fillId="0" borderId="0" xfId="3" applyNumberFormat="1" applyFont="1" applyFill="1" applyBorder="1"/>
    <xf numFmtId="179" fontId="13" fillId="0" borderId="0" xfId="0" applyNumberFormat="1" applyFont="1" applyFill="1"/>
    <xf numFmtId="37" fontId="3" fillId="0" borderId="0" xfId="3" applyNumberFormat="1" applyFont="1" applyFill="1" applyBorder="1"/>
    <xf numFmtId="178" fontId="3" fillId="0" borderId="0" xfId="3" applyNumberFormat="1" applyFont="1" applyFill="1"/>
    <xf numFmtId="37" fontId="3" fillId="0" borderId="0" xfId="3" applyNumberFormat="1" applyFont="1" applyFill="1"/>
    <xf numFmtId="174" fontId="3" fillId="0" borderId="0" xfId="3" applyNumberFormat="1" applyFont="1" applyFill="1" applyBorder="1"/>
    <xf numFmtId="0" fontId="7" fillId="0" borderId="4" xfId="0" applyFont="1" applyFill="1" applyBorder="1"/>
    <xf numFmtId="2" fontId="5" fillId="0" borderId="0" xfId="0" applyNumberFormat="1" applyFont="1" applyFill="1"/>
    <xf numFmtId="177" fontId="5" fillId="0" borderId="0" xfId="0" applyNumberFormat="1" applyFont="1" applyFill="1"/>
    <xf numFmtId="175" fontId="5" fillId="0" borderId="0" xfId="0" applyNumberFormat="1" applyFont="1" applyFill="1"/>
    <xf numFmtId="177" fontId="3" fillId="0" borderId="0" xfId="3" applyNumberFormat="1" applyFont="1" applyFill="1"/>
    <xf numFmtId="177" fontId="3" fillId="0" borderId="0" xfId="0" applyNumberFormat="1" applyFont="1" applyFill="1"/>
    <xf numFmtId="174" fontId="3" fillId="0" borderId="0" xfId="0" applyNumberFormat="1" applyFont="1" applyFill="1"/>
    <xf numFmtId="174" fontId="3" fillId="0" borderId="0" xfId="0" applyNumberFormat="1" applyFont="1" applyFill="1" applyBorder="1"/>
    <xf numFmtId="165" fontId="3" fillId="0" borderId="0" xfId="0" applyNumberFormat="1" applyFont="1" applyFill="1"/>
    <xf numFmtId="0" fontId="3" fillId="0" borderId="0" xfId="0" applyFont="1" applyFill="1" applyBorder="1" applyAlignment="1">
      <alignment horizontal="right"/>
    </xf>
    <xf numFmtId="0" fontId="5" fillId="0" borderId="0" xfId="0" applyFont="1" applyFill="1" applyAlignment="1">
      <alignment horizontal="left"/>
    </xf>
    <xf numFmtId="165" fontId="3" fillId="0" borderId="1" xfId="0" applyNumberFormat="1" applyFont="1" applyFill="1" applyBorder="1"/>
    <xf numFmtId="10" fontId="3" fillId="0" borderId="0" xfId="0" applyNumberFormat="1" applyFont="1" applyFill="1"/>
    <xf numFmtId="175" fontId="5" fillId="0" borderId="0" xfId="0" applyNumberFormat="1" applyFont="1" applyFill="1" applyBorder="1"/>
    <xf numFmtId="173" fontId="3" fillId="0" borderId="0" xfId="3" applyNumberFormat="1" applyFont="1" applyFill="1" applyBorder="1"/>
    <xf numFmtId="164" fontId="3" fillId="0" borderId="0" xfId="2" applyFont="1" applyFill="1" applyBorder="1"/>
    <xf numFmtId="0" fontId="4" fillId="0" borderId="0" xfId="0" applyFont="1" applyFill="1" applyBorder="1"/>
    <xf numFmtId="173" fontId="3" fillId="0" borderId="0" xfId="3" applyNumberFormat="1" applyFont="1" applyFill="1" applyBorder="1" applyAlignment="1">
      <alignment horizontal="center"/>
    </xf>
    <xf numFmtId="187" fontId="13" fillId="0" borderId="7" xfId="0" applyNumberFormat="1" applyFont="1" applyBorder="1"/>
    <xf numFmtId="188" fontId="3" fillId="0" borderId="19" xfId="0" applyNumberFormat="1" applyFont="1" applyBorder="1" applyAlignment="1">
      <alignment horizontal="right" vertical="center" wrapText="1"/>
    </xf>
    <xf numFmtId="180" fontId="6" fillId="0" borderId="0" xfId="0" applyNumberFormat="1" applyFont="1" applyFill="1" applyBorder="1"/>
    <xf numFmtId="189" fontId="17" fillId="0" borderId="1" xfId="0" applyNumberFormat="1" applyFont="1" applyBorder="1" applyAlignment="1">
      <alignment horizontal="right"/>
    </xf>
    <xf numFmtId="2" fontId="10" fillId="0" borderId="0" xfId="0" applyNumberFormat="1" applyFont="1"/>
    <xf numFmtId="0" fontId="10" fillId="0" borderId="0" xfId="0" applyFont="1"/>
    <xf numFmtId="0" fontId="10" fillId="0" borderId="3" xfId="0" applyFont="1" applyFill="1" applyBorder="1"/>
    <xf numFmtId="0" fontId="10" fillId="0" borderId="0" xfId="0" applyFont="1" applyFill="1" applyAlignment="1">
      <alignment horizontal="left"/>
    </xf>
    <xf numFmtId="10" fontId="10" fillId="0" borderId="0" xfId="0" applyNumberFormat="1" applyFont="1" applyFill="1" applyBorder="1"/>
    <xf numFmtId="0" fontId="10" fillId="0" borderId="0" xfId="0" applyFont="1" applyFill="1"/>
    <xf numFmtId="0" fontId="22" fillId="0" borderId="0" xfId="0" applyFont="1" applyFill="1"/>
    <xf numFmtId="174" fontId="10" fillId="0" borderId="0" xfId="3" applyNumberFormat="1" applyFont="1" applyFill="1" applyBorder="1"/>
    <xf numFmtId="172" fontId="10" fillId="0" borderId="0" xfId="0" applyNumberFormat="1" applyFont="1"/>
    <xf numFmtId="0" fontId="0" fillId="0" borderId="0" xfId="0" applyBorder="1" applyAlignment="1"/>
    <xf numFmtId="0" fontId="0" fillId="0" borderId="0" xfId="0" applyAlignment="1"/>
    <xf numFmtId="0" fontId="2" fillId="0" borderId="0" xfId="0" applyFont="1" applyFill="1" applyBorder="1" applyAlignment="1">
      <alignment vertical="top" wrapText="1"/>
    </xf>
    <xf numFmtId="0" fontId="2" fillId="0" borderId="0" xfId="0" applyFont="1" applyAlignment="1">
      <alignment vertical="top" wrapText="1"/>
    </xf>
    <xf numFmtId="0" fontId="21" fillId="0" borderId="0" xfId="0" applyFont="1" applyFill="1" applyBorder="1" applyAlignment="1"/>
    <xf numFmtId="0" fontId="0" fillId="0" borderId="0" xfId="0" applyFill="1" applyAlignment="1"/>
    <xf numFmtId="0" fontId="14" fillId="0" borderId="4" xfId="0" applyFont="1" applyBorder="1" applyAlignment="1">
      <alignment horizontal="center"/>
    </xf>
    <xf numFmtId="168" fontId="13" fillId="0" borderId="0" xfId="0" applyNumberFormat="1" applyFont="1" applyAlignment="1">
      <alignment horizontal="center"/>
    </xf>
    <xf numFmtId="10" fontId="13" fillId="0" borderId="0" xfId="0" applyNumberFormat="1" applyFont="1" applyAlignment="1">
      <alignment horizontal="center" vertical="center" wrapText="1"/>
    </xf>
    <xf numFmtId="0" fontId="14" fillId="0" borderId="0" xfId="0" applyFont="1" applyAlignment="1">
      <alignment horizontal="center"/>
    </xf>
    <xf numFmtId="10" fontId="14" fillId="0" borderId="0" xfId="0" applyNumberFormat="1" applyFont="1" applyAlignment="1">
      <alignment horizontal="center" vertical="center" wrapText="1"/>
    </xf>
    <xf numFmtId="0" fontId="18" fillId="0" borderId="0" xfId="0" applyFont="1" applyAlignment="1">
      <alignment horizontal="center"/>
    </xf>
    <xf numFmtId="0" fontId="13" fillId="0" borderId="0" xfId="0" applyFont="1" applyAlignment="1">
      <alignment horizontal="left" vertical="center" wrapText="1"/>
    </xf>
    <xf numFmtId="0" fontId="13" fillId="0" borderId="1" xfId="0" applyFont="1" applyBorder="1" applyAlignment="1">
      <alignment horizontal="center"/>
    </xf>
    <xf numFmtId="170" fontId="3" fillId="0" borderId="0" xfId="0" applyNumberFormat="1" applyFont="1" applyFill="1" applyAlignment="1">
      <alignment horizontal="center" vertical="center"/>
    </xf>
    <xf numFmtId="0" fontId="14" fillId="0" borderId="22" xfId="0" applyFont="1" applyBorder="1" applyAlignment="1">
      <alignment horizontal="center"/>
    </xf>
    <xf numFmtId="0" fontId="14" fillId="0" borderId="23" xfId="0" applyFont="1" applyBorder="1" applyAlignment="1">
      <alignment horizontal="center"/>
    </xf>
  </cellXfs>
  <cellStyles count="4">
    <cellStyle name="Comma 2" xfId="3" xr:uid="{00000000-0005-0000-0000-000000000000}"/>
    <cellStyle name="Currency 2" xfId="2" xr:uid="{00000000-0005-0000-0000-000001000000}"/>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276225</xdr:rowOff>
    </xdr:from>
    <xdr:to>
      <xdr:col>1</xdr:col>
      <xdr:colOff>3607204</xdr:colOff>
      <xdr:row>0</xdr:row>
      <xdr:rowOff>1269596</xdr:rowOff>
    </xdr:to>
    <xdr:pic>
      <xdr:nvPicPr>
        <xdr:cNvPr id="2" name="Picture 1">
          <a:extLst>
            <a:ext uri="{FF2B5EF4-FFF2-40B4-BE49-F238E27FC236}">
              <a16:creationId xmlns:a16="http://schemas.microsoft.com/office/drawing/2014/main" id="{29686A1E-AA15-4F9C-A8C3-D566AEB18D3B}"/>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276225"/>
          <a:ext cx="4721629" cy="993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ersons/person.xml><?xml version="1.0" encoding="utf-8"?>
<personList xmlns="http://schemas.microsoft.com/office/spreadsheetml/2018/threadedcomments" xmlns:x="http://schemas.openxmlformats.org/spreadsheetml/2006/main">
  <person displayName="." id="{CA972F9B-627C-40CF-9853-D4194CDBFEA8}" userId="."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3" dT="2020-02-05T02:31:13.27" personId="{CA972F9B-627C-40CF-9853-D4194CDBFEA8}" id="{0D446DE3-1C22-46F2-BA65-68A3E6F30484}">
    <text>I changed this in this worksheet from SBI to this because SBI has not been defined in this worksheet. The alternative would be to use only SBI in all appearances, and add a note before the source note defining the abbreviation.</text>
  </threadedComment>
  <threadedComment ref="A38" dT="2020-02-05T02:32:09.10" personId="{CA972F9B-627C-40CF-9853-D4194CDBFEA8}" id="{9E2F67C1-0485-4BEE-BCAC-16BA263E1107}">
    <text>See my comments in the Word documents. Following this wording, you need to add the resources where you got the original numbers from that you used to create these worksheets, in the form "Source: Created by author based on . . ."</text>
  </threadedComment>
</ThreadedComments>
</file>

<file path=xl/threadedComments/threadedComment2.xml><?xml version="1.0" encoding="utf-8"?>
<ThreadedComments xmlns="http://schemas.microsoft.com/office/spreadsheetml/2018/threadedcomments" xmlns:x="http://schemas.openxmlformats.org/spreadsheetml/2006/main">
  <threadedComment ref="H8" dT="2020-02-05T02:38:48.33" personId="{CA972F9B-627C-40CF-9853-D4194CDBFEA8}" id="{FC2995B1-1CAB-46C4-9C51-D1C129851BD7}">
    <text>Please double-check if this should be in this format, as I read that Ivey wanted negatives in parentheses.</text>
  </threadedComment>
  <threadedComment ref="A22" dT="2020-02-05T02:39:58.66" personId="{CA972F9B-627C-40CF-9853-D4194CDBFEA8}" id="{E2DF4240-0A67-4DD5-8F23-1796CC28A720}">
    <text>Please fill in the remainder of the full term for ROA so that abbreviations are properly defined on this sheet.</text>
  </threadedComment>
</ThreadedComments>
</file>

<file path=xl/threadedComments/threadedComment3.xml><?xml version="1.0" encoding="utf-8"?>
<ThreadedComments xmlns="http://schemas.microsoft.com/office/spreadsheetml/2018/threadedcomments" xmlns:x="http://schemas.openxmlformats.org/spreadsheetml/2006/main">
  <threadedComment ref="A58" dT="2020-02-05T02:41:16.70" personId="{CA972F9B-627C-40CF-9853-D4194CDBFEA8}" id="{254AD3D7-2ACA-42E2-AB75-5DD7C489511F}">
    <text>Please fill in the appropriate full terms in order to define the abbreviations used on this sheet.</text>
  </threadedComment>
</ThreadedComments>
</file>

<file path=xl/threadedComments/threadedComment4.xml><?xml version="1.0" encoding="utf-8"?>
<ThreadedComments xmlns="http://schemas.microsoft.com/office/spreadsheetml/2018/threadedcomments" xmlns:x="http://schemas.openxmlformats.org/spreadsheetml/2006/main">
  <threadedComment ref="A30" dT="2020-02-05T02:43:13.73" personId="{CA972F9B-627C-40CF-9853-D4194CDBFEA8}" id="{E5E9528F-C71A-42CE-A6DC-CAA0C3693AB7}">
    <text>Please complete definitions of all abbreviations used.</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0-02-05T02:44:09.27" personId="{CA972F9B-627C-40CF-9853-D4194CDBFEA8}" id="{1052539F-5FF1-4567-8238-941EE36D01A7}">
    <text>See my comment in Word document regarding sources.</tex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0-02-05T02:45:29.10" personId="{CA972F9B-627C-40CF-9853-D4194CDBFEA8}" id="{0B2A0097-3ECD-46CF-BFA0-68F83DDBAF7C}">
    <text>I changed this to Exhibit 8 to match the Word document.</text>
  </threadedComment>
</ThreadedComments>
</file>

<file path=xl/threadedComments/threadedComment7.xml><?xml version="1.0" encoding="utf-8"?>
<ThreadedComments xmlns="http://schemas.microsoft.com/office/spreadsheetml/2018/threadedcomments" xmlns:x="http://schemas.openxmlformats.org/spreadsheetml/2006/main">
  <threadedComment ref="B2" dT="2020-02-05T02:50:05.78" personId="{CA972F9B-627C-40CF-9853-D4194CDBFEA8}" id="{B4814C8C-FD09-44E0-92D1-FD73F7D7A8AB}">
    <text>This has been revised to match the Word document.</text>
  </threadedComment>
  <threadedComment ref="B23" dT="2020-02-05T02:50:35.20" personId="{CA972F9B-627C-40CF-9853-D4194CDBFEA8}" id="{4B2EE6D1-CEFE-47E6-82CA-26BC3DFD90D9}">
    <text>Please see my comment in the Word document regarding these repeated numbers.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0.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6"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6" Type="http://schemas.microsoft.com/office/2017/10/relationships/threadedComment" Target="../threadedComments/threadedComment6.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 Id="rId6" Type="http://schemas.microsoft.com/office/2017/10/relationships/threadedComment" Target="../threadedComments/threadedComment7.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 Id="rId6"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showGridLines="0" tabSelected="1" workbookViewId="0">
      <selection activeCell="A11" sqref="A11"/>
    </sheetView>
  </sheetViews>
  <sheetFormatPr defaultRowHeight="15" x14ac:dyDescent="0.25"/>
  <cols>
    <col min="1" max="1" width="20" style="1" customWidth="1"/>
    <col min="2" max="2" width="58.7109375" style="1" customWidth="1"/>
    <col min="3" max="16384" width="9.140625" style="1"/>
  </cols>
  <sheetData>
    <row r="1" spans="1:7" ht="106.5" customHeight="1" x14ac:dyDescent="0.25">
      <c r="A1" s="189"/>
      <c r="B1" s="190"/>
    </row>
    <row r="3" spans="1:7" x14ac:dyDescent="0.25">
      <c r="A3" s="97" t="s">
        <v>206</v>
      </c>
      <c r="B3" s="106" t="s">
        <v>247</v>
      </c>
    </row>
    <row r="4" spans="1:7" ht="30" x14ac:dyDescent="0.25">
      <c r="A4" s="97" t="s">
        <v>207</v>
      </c>
      <c r="B4" s="107" t="s">
        <v>234</v>
      </c>
    </row>
    <row r="5" spans="1:7" ht="45" x14ac:dyDescent="0.25">
      <c r="A5" s="97"/>
      <c r="B5" s="108" t="s">
        <v>246</v>
      </c>
    </row>
    <row r="6" spans="1:7" x14ac:dyDescent="0.25">
      <c r="A6" s="97" t="s">
        <v>208</v>
      </c>
      <c r="B6" s="107" t="s">
        <v>211</v>
      </c>
    </row>
    <row r="7" spans="1:7" x14ac:dyDescent="0.25">
      <c r="B7" s="109"/>
    </row>
    <row r="8" spans="1:7" x14ac:dyDescent="0.25">
      <c r="A8" s="98" t="s">
        <v>209</v>
      </c>
      <c r="B8" s="110">
        <v>43892</v>
      </c>
    </row>
    <row r="10" spans="1:7" ht="104.25" customHeight="1" x14ac:dyDescent="0.25">
      <c r="A10" s="191" t="s">
        <v>210</v>
      </c>
      <c r="B10" s="192"/>
      <c r="C10" s="99"/>
      <c r="D10" s="99"/>
      <c r="E10" s="99"/>
      <c r="F10" s="99"/>
      <c r="G10" s="99"/>
    </row>
    <row r="11" spans="1:7" x14ac:dyDescent="0.25">
      <c r="A11" s="98"/>
    </row>
    <row r="12" spans="1:7" x14ac:dyDescent="0.25">
      <c r="A12" s="193" t="s">
        <v>235</v>
      </c>
      <c r="B12" s="194"/>
    </row>
  </sheetData>
  <sheetProtection algorithmName="SHA-512" hashValue="qhWhvLdJDfro5nAcPUrBrRBDsTRyc4mh8+iszJR9fMV0JyGLwLxyhD2bZax3/pDqu/aJlU3h5CxSkWcfjR9Oog==" saltValue="ergFvFpaG5uPfOX2/0dXgg==" spinCount="100000" sheet="1" objects="1" scenarios="1"/>
  <mergeCells count="3">
    <mergeCell ref="A1:B1"/>
    <mergeCell ref="A10:B10"/>
    <mergeCell ref="A12:B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9"/>
  <sheetViews>
    <sheetView topLeftCell="A15" zoomScale="85" zoomScaleNormal="85" workbookViewId="0">
      <selection activeCell="A39" sqref="A39"/>
    </sheetView>
  </sheetViews>
  <sheetFormatPr defaultColWidth="8.85546875" defaultRowHeight="14.25" x14ac:dyDescent="0.2"/>
  <cols>
    <col min="1" max="1" width="17.85546875" style="24" customWidth="1"/>
    <col min="2" max="6" width="13.42578125" style="24" customWidth="1"/>
    <col min="7" max="7" width="15.5703125" style="24" customWidth="1"/>
    <col min="8" max="8" width="15.140625" style="24" customWidth="1"/>
    <col min="9" max="9" width="11.28515625" style="24" customWidth="1"/>
    <col min="10" max="10" width="17.42578125" style="24" customWidth="1"/>
    <col min="11" max="17" width="13.42578125" style="24" customWidth="1"/>
    <col min="18" max="18" width="29.140625" style="24" customWidth="1"/>
    <col min="19" max="16384" width="8.85546875" style="24"/>
  </cols>
  <sheetData>
    <row r="1" spans="1:20" hidden="1" x14ac:dyDescent="0.2">
      <c r="C1" s="24" t="s">
        <v>55</v>
      </c>
    </row>
    <row r="2" spans="1:20" hidden="1" x14ac:dyDescent="0.2">
      <c r="C2" s="24" t="s">
        <v>56</v>
      </c>
    </row>
    <row r="3" spans="1:20" ht="15" customHeight="1" x14ac:dyDescent="0.2">
      <c r="A3" s="200" t="s">
        <v>66</v>
      </c>
      <c r="B3" s="200"/>
      <c r="C3" s="200"/>
      <c r="D3" s="200"/>
      <c r="E3" s="200"/>
      <c r="F3" s="200"/>
      <c r="G3" s="200"/>
      <c r="H3" s="200"/>
      <c r="I3" s="200"/>
      <c r="J3" s="200"/>
      <c r="K3" s="200"/>
      <c r="L3" s="200"/>
      <c r="M3" s="200"/>
      <c r="N3" s="200"/>
      <c r="O3" s="200"/>
      <c r="P3" s="200"/>
      <c r="Q3" s="200"/>
      <c r="R3" s="200"/>
    </row>
    <row r="4" spans="1:20" ht="15" customHeight="1" x14ac:dyDescent="0.2">
      <c r="A4" s="200"/>
      <c r="B4" s="200"/>
      <c r="C4" s="200"/>
      <c r="D4" s="200"/>
      <c r="E4" s="200"/>
      <c r="F4" s="200"/>
      <c r="G4" s="200"/>
      <c r="H4" s="200"/>
      <c r="I4" s="200"/>
      <c r="J4" s="200"/>
      <c r="K4" s="200"/>
      <c r="L4" s="200"/>
      <c r="M4" s="200"/>
      <c r="N4" s="200"/>
      <c r="O4" s="200"/>
      <c r="P4" s="200"/>
      <c r="Q4" s="200"/>
      <c r="R4" s="200"/>
    </row>
    <row r="5" spans="1:20" ht="15" customHeight="1" x14ac:dyDescent="0.25">
      <c r="A5" s="198" t="s">
        <v>67</v>
      </c>
      <c r="B5" s="198"/>
      <c r="C5" s="198"/>
      <c r="D5" s="198"/>
      <c r="E5" s="198"/>
      <c r="F5" s="198"/>
      <c r="G5" s="198"/>
      <c r="H5" s="198"/>
      <c r="I5" s="198"/>
      <c r="J5" s="198"/>
      <c r="K5" s="198"/>
      <c r="L5" s="198"/>
      <c r="M5" s="198"/>
      <c r="N5" s="198"/>
      <c r="O5" s="198"/>
      <c r="P5" s="198"/>
      <c r="Q5" s="198"/>
      <c r="R5" s="198"/>
    </row>
    <row r="6" spans="1:20" ht="15" x14ac:dyDescent="0.25">
      <c r="A6" s="201" t="s">
        <v>53</v>
      </c>
      <c r="B6" s="198" t="s">
        <v>54</v>
      </c>
      <c r="C6" s="198"/>
      <c r="D6" s="198"/>
      <c r="E6" s="198" t="s">
        <v>57</v>
      </c>
      <c r="F6" s="198"/>
      <c r="G6" s="198"/>
      <c r="H6" s="198" t="s">
        <v>58</v>
      </c>
      <c r="I6" s="198"/>
      <c r="J6" s="198"/>
      <c r="K6" s="198" t="s">
        <v>59</v>
      </c>
      <c r="L6" s="198"/>
      <c r="M6" s="198"/>
      <c r="N6" s="198"/>
      <c r="O6" s="198" t="s">
        <v>60</v>
      </c>
      <c r="P6" s="198"/>
      <c r="Q6" s="198"/>
      <c r="R6" s="78" t="s">
        <v>63</v>
      </c>
      <c r="S6" s="78"/>
      <c r="T6" s="78"/>
    </row>
    <row r="7" spans="1:20" s="81" customFormat="1" ht="28.5" x14ac:dyDescent="0.2">
      <c r="A7" s="201"/>
      <c r="B7" s="79" t="s">
        <v>160</v>
      </c>
      <c r="C7" s="79" t="s">
        <v>161</v>
      </c>
      <c r="D7" s="79" t="s">
        <v>160</v>
      </c>
      <c r="E7" s="79" t="s">
        <v>161</v>
      </c>
      <c r="F7" s="79" t="s">
        <v>160</v>
      </c>
      <c r="G7" s="79" t="s">
        <v>160</v>
      </c>
      <c r="H7" s="79" t="s">
        <v>160</v>
      </c>
      <c r="I7" s="79" t="s">
        <v>160</v>
      </c>
      <c r="J7" s="79" t="s">
        <v>160</v>
      </c>
      <c r="K7" s="79" t="s">
        <v>160</v>
      </c>
      <c r="L7" s="79" t="s">
        <v>160</v>
      </c>
      <c r="M7" s="79" t="s">
        <v>160</v>
      </c>
      <c r="N7" s="79" t="s">
        <v>161</v>
      </c>
      <c r="O7" s="79" t="s">
        <v>160</v>
      </c>
      <c r="P7" s="79" t="s">
        <v>160</v>
      </c>
      <c r="Q7" s="79" t="s">
        <v>160</v>
      </c>
      <c r="R7" s="80" t="s">
        <v>162</v>
      </c>
    </row>
    <row r="8" spans="1:20" s="81" customFormat="1" ht="57.75" thickBot="1" x14ac:dyDescent="0.25">
      <c r="A8" s="201"/>
      <c r="B8" s="70" t="s">
        <v>0</v>
      </c>
      <c r="C8" s="70" t="s">
        <v>2</v>
      </c>
      <c r="D8" s="70" t="s">
        <v>1</v>
      </c>
      <c r="E8" s="70" t="s">
        <v>3</v>
      </c>
      <c r="F8" s="70" t="s">
        <v>213</v>
      </c>
      <c r="G8" s="70" t="s">
        <v>4</v>
      </c>
      <c r="H8" s="70" t="s">
        <v>7</v>
      </c>
      <c r="I8" s="70" t="s">
        <v>5</v>
      </c>
      <c r="J8" s="70" t="s">
        <v>6</v>
      </c>
      <c r="K8" s="70" t="s">
        <v>8</v>
      </c>
      <c r="L8" s="70" t="s">
        <v>9</v>
      </c>
      <c r="M8" s="70" t="s">
        <v>10</v>
      </c>
      <c r="N8" s="70" t="s">
        <v>11</v>
      </c>
      <c r="O8" s="70" t="s">
        <v>12</v>
      </c>
      <c r="P8" s="70" t="s">
        <v>214</v>
      </c>
      <c r="Q8" s="70" t="s">
        <v>14</v>
      </c>
      <c r="R8" s="81" t="s">
        <v>215</v>
      </c>
    </row>
    <row r="9" spans="1:20" ht="15.75" thickBot="1" x14ac:dyDescent="0.3">
      <c r="A9" s="31" t="s">
        <v>15</v>
      </c>
      <c r="B9" s="66">
        <v>0.14799999999999999</v>
      </c>
      <c r="C9" s="24">
        <v>1.5024</v>
      </c>
      <c r="D9" s="66">
        <f>HDFC!A9</f>
        <v>0.11386829898451606</v>
      </c>
      <c r="E9" s="82">
        <f>HDFC!A1</f>
        <v>4.0000000000000001E-3</v>
      </c>
      <c r="F9" s="66">
        <f>HDFC!A12</f>
        <v>0.77772343394722687</v>
      </c>
      <c r="G9" s="83">
        <f>HDFC!A16</f>
        <v>0.98699999999999999</v>
      </c>
      <c r="H9" s="37">
        <f>HDFC!A23</f>
        <v>1987128.2159090908</v>
      </c>
      <c r="I9" s="75">
        <f>HDFC!A18</f>
        <v>0.83463184067532326</v>
      </c>
      <c r="J9" s="37">
        <f>HDFC!A22</f>
        <v>164443605.72727272</v>
      </c>
      <c r="K9" s="66">
        <f>HDFC!A25</f>
        <v>1.6435909543850328E-2</v>
      </c>
      <c r="L9" s="73">
        <f>HDFC!A29</f>
        <v>3.7685468753249171E-2</v>
      </c>
      <c r="M9" s="83">
        <f>HDFC!A31</f>
        <v>3.0664308202541443E-2</v>
      </c>
      <c r="N9" s="77">
        <f>HDFC!A33</f>
        <v>1.2975760594393178</v>
      </c>
      <c r="O9" s="75">
        <f>HDFC!A35</f>
        <v>9.8380577351340676E-2</v>
      </c>
      <c r="P9" s="75">
        <f>HDFC!A36</f>
        <v>0.17704551818390935</v>
      </c>
      <c r="Q9" s="75">
        <f>HDFC!A39</f>
        <v>0.15583120938975681</v>
      </c>
      <c r="R9" s="84">
        <v>0.98548304649999996</v>
      </c>
    </row>
    <row r="10" spans="1:20" ht="15.75" thickBot="1" x14ac:dyDescent="0.3">
      <c r="A10" s="31" t="s">
        <v>16</v>
      </c>
      <c r="B10" s="66">
        <v>0.184</v>
      </c>
      <c r="C10" s="24">
        <v>2.9437000000000002</v>
      </c>
      <c r="D10" s="66">
        <f>Yes!A9</f>
        <v>9.1792703994436398E-2</v>
      </c>
      <c r="E10" s="82">
        <f>Yes!A1</f>
        <v>6.4000000000000003E-3</v>
      </c>
      <c r="F10" s="66">
        <f>Yes!A12</f>
        <v>0.71975742951111021</v>
      </c>
      <c r="G10" s="83">
        <f>Yes!A16</f>
        <v>0.98720000000000008</v>
      </c>
      <c r="H10" s="37">
        <f>Yes!A23</f>
        <v>2316352.5057572103</v>
      </c>
      <c r="I10" s="75">
        <f>Yes!A18</f>
        <v>1.013927174448032</v>
      </c>
      <c r="J10" s="37">
        <f>Yes!A22</f>
        <v>221664661.91468364</v>
      </c>
      <c r="K10" s="66">
        <f>Yes!A25</f>
        <v>1.3520957425487319E-2</v>
      </c>
      <c r="L10" s="73">
        <f>Yes!A29</f>
        <v>2.4762899904119087E-2</v>
      </c>
      <c r="M10" s="75">
        <f>Yes!A31</f>
        <v>2.4798278222403138E-2</v>
      </c>
      <c r="N10" s="77">
        <f>Yes!A33</f>
        <v>1.2339215053142647</v>
      </c>
      <c r="O10" s="75">
        <f>Yes!A35</f>
        <v>3.6568761983920034E-2</v>
      </c>
      <c r="P10" s="75">
        <f>Yes!A36</f>
        <v>0.15756548909645035</v>
      </c>
      <c r="Q10" s="75">
        <f>Yes!A39</f>
        <v>0.12321707007721736</v>
      </c>
      <c r="R10" s="85">
        <v>1.88</v>
      </c>
    </row>
    <row r="11" spans="1:20" ht="15.75" thickBot="1" x14ac:dyDescent="0.3">
      <c r="A11" s="31" t="s">
        <v>17</v>
      </c>
      <c r="B11" s="66">
        <v>0.1842</v>
      </c>
      <c r="C11" s="24">
        <v>2.1396999999999999</v>
      </c>
      <c r="D11" s="66">
        <f>ICICI!A9</f>
        <v>9.5593523099998662E-2</v>
      </c>
      <c r="E11" s="82">
        <f>ICICI!A1</f>
        <v>5.4422827031568616E-2</v>
      </c>
      <c r="F11" s="66">
        <f>ICICI!A12</f>
        <v>0.69722693597529961</v>
      </c>
      <c r="G11" s="83">
        <f>ICICI!A16</f>
        <v>0.89448966155749499</v>
      </c>
      <c r="H11" s="37">
        <f>ICICI!A23</f>
        <v>831096.15195958212</v>
      </c>
      <c r="I11" s="75">
        <f>ICICI!A18</f>
        <v>0.9134009450615499</v>
      </c>
      <c r="J11" s="37">
        <f>ICICI!A22</f>
        <v>131624380.00931966</v>
      </c>
      <c r="K11" s="66">
        <f>ICICI!A25</f>
        <v>7.7087198049378414E-3</v>
      </c>
      <c r="L11" s="73">
        <f>ICICI!A29</f>
        <v>2.6189865518761828E-2</v>
      </c>
      <c r="M11" s="75">
        <f>ICICI!A31</f>
        <v>2.1541439355321587E-2</v>
      </c>
      <c r="N11" s="77">
        <f>ICICI!A33</f>
        <v>2.3171049278922817</v>
      </c>
      <c r="O11" s="75">
        <f>ICICI!A35</f>
        <v>3.7651034791026827E-2</v>
      </c>
      <c r="P11" s="75">
        <f>ICICI!A36</f>
        <v>0.16098129609642176</v>
      </c>
      <c r="Q11" s="75">
        <f>ICICI!A39</f>
        <v>0.15004117744358395</v>
      </c>
      <c r="R11" s="84">
        <v>1.470346728</v>
      </c>
    </row>
    <row r="12" spans="1:20" ht="15.75" thickBot="1" x14ac:dyDescent="0.3">
      <c r="A12" s="31" t="s">
        <v>18</v>
      </c>
      <c r="B12" s="66">
        <v>0.16569999999999999</v>
      </c>
      <c r="C12" s="24">
        <v>2.5026000000000002</v>
      </c>
      <c r="D12" s="66">
        <f>'Axis Bank'!A9</f>
        <v>7.0549318248547863E-2</v>
      </c>
      <c r="E12" s="82">
        <f>'Axis Bank'!A1</f>
        <v>3.4000000000000002E-2</v>
      </c>
      <c r="F12" s="66">
        <f>'Axis Bank'!A12</f>
        <v>0.67621284006081606</v>
      </c>
      <c r="G12" s="83">
        <f>'Axis Bank'!A16</f>
        <v>0.93230000000000002</v>
      </c>
      <c r="H12" s="37">
        <f>'Axis Bank'!A23</f>
        <v>46255.25167785235</v>
      </c>
      <c r="I12" s="75">
        <f>'Axis Bank'!A18</f>
        <v>0.9691981527531166</v>
      </c>
      <c r="J12" s="37">
        <f>'Axis Bank'!A22</f>
        <v>149878024.63087249</v>
      </c>
      <c r="K12" s="66">
        <f>'Axis Bank'!A25</f>
        <v>3.987697156541124E-4</v>
      </c>
      <c r="L12" s="73">
        <f>'Axis Bank'!A29</f>
        <v>2.6930325334398438E-2</v>
      </c>
      <c r="M12" s="75">
        <f>'Axis Bank'!A31</f>
        <v>2.2556535194480833E-2</v>
      </c>
      <c r="N12" s="77">
        <f>'Axis Bank'!A33</f>
        <v>50.748237185474679</v>
      </c>
      <c r="O12" s="75">
        <f>'Axis Bank'!A35</f>
        <v>5.1322927199400743E-2</v>
      </c>
      <c r="P12" s="75">
        <f>'Axis Bank'!A36</f>
        <v>0.1505113999534797</v>
      </c>
      <c r="Q12" s="75">
        <f>'Axis Bank'!A39</f>
        <v>9.5795224674088159E-2</v>
      </c>
      <c r="R12" s="84">
        <v>1.4468211879999999</v>
      </c>
    </row>
    <row r="13" spans="1:20" ht="15" x14ac:dyDescent="0.25">
      <c r="A13" s="31" t="s">
        <v>196</v>
      </c>
      <c r="B13" s="66">
        <v>0.126</v>
      </c>
      <c r="C13" s="24">
        <v>1.7181999999999999</v>
      </c>
      <c r="D13" s="66">
        <f>SBI!A9</f>
        <v>2.9441323679578302E-2</v>
      </c>
      <c r="E13" s="82">
        <f>SBI!A1</f>
        <v>5.7299999999999997E-2</v>
      </c>
      <c r="F13" s="66">
        <f>SBI!A12</f>
        <v>0.80954482347123446</v>
      </c>
      <c r="G13" s="83">
        <f>SBI!A16</f>
        <v>0.89090000000000003</v>
      </c>
      <c r="H13" s="37">
        <f>SBI!A23</f>
        <v>-241603.45756457566</v>
      </c>
      <c r="I13" s="75">
        <f>SBI!A18</f>
        <v>0.71494263119691415</v>
      </c>
      <c r="J13" s="37">
        <f>SBI!A22</f>
        <v>171262858.82287824</v>
      </c>
      <c r="K13" s="66">
        <f>SBI!A25</f>
        <v>-1.8952022334580564E-3</v>
      </c>
      <c r="L13" s="73">
        <f>SBI!A29</f>
        <v>2.166688540122921E-2</v>
      </c>
      <c r="M13" s="75">
        <f>SBI!A31</f>
        <v>1.7225824041369048E-2</v>
      </c>
      <c r="N13" s="77">
        <f>SBI!A33</f>
        <v>-9.1552302844081197</v>
      </c>
      <c r="O13" s="75">
        <f>SBI!A35</f>
        <v>4.3533423397110312E-2</v>
      </c>
      <c r="P13" s="75">
        <f>SBI!A36</f>
        <v>0.24861880208631587</v>
      </c>
      <c r="Q13" s="75">
        <f>SBI!A39</f>
        <v>7.0906984699097397E-2</v>
      </c>
      <c r="R13" s="84">
        <v>1.6802277456000001</v>
      </c>
    </row>
    <row r="14" spans="1:20" s="87" customFormat="1" ht="15" x14ac:dyDescent="0.25">
      <c r="A14" s="86" t="s">
        <v>61</v>
      </c>
      <c r="B14" s="66">
        <v>0.7</v>
      </c>
      <c r="C14" s="87">
        <v>0.15</v>
      </c>
      <c r="D14" s="87">
        <f>1-B14-C14</f>
        <v>0.15000000000000005</v>
      </c>
      <c r="E14" s="87">
        <v>0.1</v>
      </c>
      <c r="F14" s="87">
        <v>0.3</v>
      </c>
      <c r="G14" s="87">
        <f>1-E14-F14</f>
        <v>0.60000000000000009</v>
      </c>
      <c r="H14" s="87">
        <v>0.5</v>
      </c>
      <c r="I14" s="87">
        <v>0.25</v>
      </c>
      <c r="J14" s="87">
        <f>1-H14-I14</f>
        <v>0.25</v>
      </c>
      <c r="K14" s="87">
        <v>2.5000000000000001E-3</v>
      </c>
      <c r="L14" s="87">
        <v>0.25</v>
      </c>
      <c r="M14" s="87">
        <v>0.25</v>
      </c>
      <c r="N14" s="87">
        <v>2.5000000000000001E-3</v>
      </c>
      <c r="O14" s="87">
        <v>0.25</v>
      </c>
      <c r="P14" s="87">
        <v>0.25</v>
      </c>
      <c r="Q14" s="87">
        <f>1-O14-P14</f>
        <v>0.5</v>
      </c>
      <c r="R14" s="88">
        <v>1</v>
      </c>
    </row>
    <row r="15" spans="1:20" s="88" customFormat="1" ht="30" x14ac:dyDescent="0.25">
      <c r="A15" s="89" t="s">
        <v>62</v>
      </c>
      <c r="B15" s="197">
        <v>0.2</v>
      </c>
      <c r="C15" s="197"/>
      <c r="D15" s="197"/>
      <c r="E15" s="197">
        <v>0.2</v>
      </c>
      <c r="F15" s="197"/>
      <c r="G15" s="197"/>
      <c r="H15" s="197">
        <v>0.2</v>
      </c>
      <c r="I15" s="197"/>
      <c r="J15" s="197"/>
      <c r="K15" s="197">
        <v>0.2</v>
      </c>
      <c r="L15" s="197"/>
      <c r="M15" s="197"/>
      <c r="N15" s="197"/>
      <c r="O15" s="197">
        <v>0.1</v>
      </c>
      <c r="P15" s="197"/>
      <c r="Q15" s="197"/>
      <c r="R15" s="88">
        <v>0.1</v>
      </c>
    </row>
    <row r="16" spans="1:20" s="88" customFormat="1" ht="14.45" customHeight="1" x14ac:dyDescent="0.25">
      <c r="A16" s="199" t="s">
        <v>182</v>
      </c>
      <c r="B16" s="199"/>
      <c r="C16" s="199"/>
      <c r="D16" s="199"/>
      <c r="E16" s="199"/>
      <c r="F16" s="199"/>
      <c r="G16" s="199"/>
      <c r="H16" s="199"/>
      <c r="I16" s="199"/>
      <c r="J16" s="199"/>
      <c r="K16" s="199"/>
      <c r="L16" s="199"/>
      <c r="M16" s="199"/>
      <c r="N16" s="199"/>
      <c r="O16" s="199"/>
      <c r="P16" s="199"/>
      <c r="Q16" s="199"/>
      <c r="R16" s="199"/>
    </row>
    <row r="17" spans="1:18" s="88" customFormat="1" ht="57" x14ac:dyDescent="0.25">
      <c r="A17" s="89"/>
      <c r="B17" s="70" t="s">
        <v>0</v>
      </c>
      <c r="C17" s="70" t="s">
        <v>2</v>
      </c>
      <c r="D17" s="70" t="s">
        <v>1</v>
      </c>
      <c r="E17" s="70" t="s">
        <v>3</v>
      </c>
      <c r="F17" s="70" t="s">
        <v>213</v>
      </c>
      <c r="G17" s="70" t="s">
        <v>4</v>
      </c>
      <c r="H17" s="70" t="s">
        <v>7</v>
      </c>
      <c r="I17" s="70" t="s">
        <v>5</v>
      </c>
      <c r="J17" s="70" t="s">
        <v>6</v>
      </c>
      <c r="K17" s="70" t="s">
        <v>8</v>
      </c>
      <c r="L17" s="70" t="s">
        <v>9</v>
      </c>
      <c r="M17" s="70" t="s">
        <v>10</v>
      </c>
      <c r="N17" s="70" t="s">
        <v>11</v>
      </c>
      <c r="O17" s="70" t="s">
        <v>12</v>
      </c>
      <c r="P17" s="70" t="s">
        <v>214</v>
      </c>
      <c r="Q17" s="70" t="s">
        <v>14</v>
      </c>
      <c r="R17" s="88" t="str">
        <f>R8</f>
        <v>Beta (5-yr monthly) Source: Thomson Reuters</v>
      </c>
    </row>
    <row r="18" spans="1:18" s="88" customFormat="1" ht="15" x14ac:dyDescent="0.25">
      <c r="A18" s="31" t="s">
        <v>15</v>
      </c>
      <c r="B18" s="90">
        <f>(B9-$B$13)/($B$11-$B$13)</f>
        <v>0.3780068728522335</v>
      </c>
      <c r="C18" s="90">
        <f>(C$10-C9)/($C$10-$C$9)</f>
        <v>1</v>
      </c>
      <c r="D18" s="90">
        <f>(D9-$D$13)/($D$9-$D$13)</f>
        <v>1</v>
      </c>
      <c r="E18" s="90">
        <f>($E$13-E9)/($E$13-$E$9)</f>
        <v>1</v>
      </c>
      <c r="F18" s="90">
        <f>(F9-$F$12)/($F$13-$F$12)</f>
        <v>0.7613371622466909</v>
      </c>
      <c r="G18" s="90">
        <f>(G9-$G$13)/($G$10-$G$13)</f>
        <v>0.99792315680166055</v>
      </c>
      <c r="H18" s="90">
        <f>(H9-$H$13)/($H$10-$H$13)</f>
        <v>0.87129399623417059</v>
      </c>
      <c r="I18" s="90">
        <f>(I9-$I$13)/($I$10-$I$13)</f>
        <v>0.40031905387791844</v>
      </c>
      <c r="J18" s="90">
        <f>(J9-$J$11)/($J$10-$J$11)</f>
        <v>0.3644949240879477</v>
      </c>
      <c r="K18" s="90">
        <f>(K9-$K$13)/($K$9-$K$13)</f>
        <v>1</v>
      </c>
      <c r="L18" s="90">
        <f>(L9-$L$13)/($L$9-$L$13)</f>
        <v>1</v>
      </c>
      <c r="M18" s="90">
        <f>(M9-$M$13)/($M$9-$M$13)</f>
        <v>1</v>
      </c>
      <c r="N18" s="91">
        <f>($N$12-N9)/($N$12-$N$13)</f>
        <v>0.82550582152689722</v>
      </c>
      <c r="O18" s="90">
        <f>(O9-$O$10)/($O$9-$O$10)</f>
        <v>1</v>
      </c>
      <c r="P18" s="90">
        <f>(P9-$P$12)/($P$13-$P$12)</f>
        <v>0.2704599006148668</v>
      </c>
      <c r="Q18" s="90">
        <f>(Q9-$Q$13)/($Q$9-$Q$13)</f>
        <v>1</v>
      </c>
      <c r="R18" s="92">
        <f>($R$10-R9)/($R$10-$R$9)</f>
        <v>1</v>
      </c>
    </row>
    <row r="19" spans="1:18" s="88" customFormat="1" ht="15" x14ac:dyDescent="0.25">
      <c r="A19" s="31" t="s">
        <v>16</v>
      </c>
      <c r="B19" s="90">
        <f t="shared" ref="B19:B22" si="0">(B10-$B$13)/($B$11-$B$13)</f>
        <v>0.99656357388316141</v>
      </c>
      <c r="C19" s="90">
        <f>(C$10-C10)/($C$10-$C$9)</f>
        <v>0</v>
      </c>
      <c r="D19" s="90">
        <f>(D10-$D$13)/($D$9-$D$13)</f>
        <v>0.73852438855773439</v>
      </c>
      <c r="E19" s="90">
        <f>($E$13-E10)/($E$13-$E$9)</f>
        <v>0.95497185741088164</v>
      </c>
      <c r="F19" s="90">
        <f>(F10-$F$12)/($F$13-$F$12)</f>
        <v>0.32658772738913322</v>
      </c>
      <c r="G19" s="90">
        <f>(G10-$G$13)/($G$10-$G$13)</f>
        <v>1</v>
      </c>
      <c r="H19" s="90">
        <f>(H10-$H$13)/($H$10-$H$13)</f>
        <v>1</v>
      </c>
      <c r="I19" s="90">
        <f>(I10-$I$13)/($I$10-$I$13)</f>
        <v>1</v>
      </c>
      <c r="J19" s="90">
        <f>(J10-$J$11)/($J$10-$J$11)</f>
        <v>1</v>
      </c>
      <c r="K19" s="90">
        <f>(K10-$K$13)/($K$9-$K$13)</f>
        <v>0.84098334275767417</v>
      </c>
      <c r="L19" s="90">
        <f>(L10-$L$13)/($L$9-$L$13)</f>
        <v>0.19327642369195311</v>
      </c>
      <c r="M19" s="90">
        <f>(M10-$M$13)/($M$9-$M$13)</f>
        <v>0.56349020397055383</v>
      </c>
      <c r="N19" s="91">
        <f>($N$12-N10)/($N$12-$N$13)</f>
        <v>0.82656844038376143</v>
      </c>
      <c r="O19" s="90">
        <f>(O10-$O$10)/($O$9-$O$10)</f>
        <v>0</v>
      </c>
      <c r="P19" s="90">
        <f>(P10-$P$12)/($P$13-$P$12)</f>
        <v>7.1901701498725878E-2</v>
      </c>
      <c r="Q19" s="90">
        <f>(Q10-$Q$13)/($Q$9-$Q$13)</f>
        <v>0.6159618832984578</v>
      </c>
      <c r="R19" s="92">
        <f>($R$10-R10)/($R$10-$R$9)</f>
        <v>0</v>
      </c>
    </row>
    <row r="20" spans="1:18" s="88" customFormat="1" ht="15" x14ac:dyDescent="0.25">
      <c r="A20" s="31" t="s">
        <v>17</v>
      </c>
      <c r="B20" s="90">
        <f t="shared" si="0"/>
        <v>1</v>
      </c>
      <c r="C20" s="90">
        <f>(C$10-C11)/($C$10-$C$9)</f>
        <v>0.55782973704294747</v>
      </c>
      <c r="D20" s="90">
        <f>(D11-$D$13)/($D$9-$D$13)</f>
        <v>0.78354340163778691</v>
      </c>
      <c r="E20" s="90">
        <f>($E$13-E11)/($E$13-$E$9)</f>
        <v>5.3980731115035291E-2</v>
      </c>
      <c r="F20" s="90">
        <f>(F11-$F$12)/($F$13-$F$12)</f>
        <v>0.15760731504157266</v>
      </c>
      <c r="G20" s="90">
        <f>(G11-$G$13)/($G$10-$G$13)</f>
        <v>3.7275820950103414E-2</v>
      </c>
      <c r="H20" s="90">
        <f>(H11-$H$13)/($H$10-$H$13)</f>
        <v>0.41935812222941476</v>
      </c>
      <c r="I20" s="90">
        <f>(I11-$I$13)/($I$10-$I$13)</f>
        <v>0.66377449384716214</v>
      </c>
      <c r="J20" s="90">
        <f>(J11-$J$11)/($J$10-$J$11)</f>
        <v>0</v>
      </c>
      <c r="K20" s="90">
        <f>(K11-$K$13)/($K$9-$K$13)</f>
        <v>0.52391377866586075</v>
      </c>
      <c r="L20" s="90">
        <f>(L11-$L$13)/($L$9-$L$13)</f>
        <v>0.28235830960434249</v>
      </c>
      <c r="M20" s="90">
        <f>(M11-$M$13)/($M$9-$M$13)</f>
        <v>0.32113854971988431</v>
      </c>
      <c r="N20" s="91">
        <f>($N$12-N11)/($N$12-$N$13)</f>
        <v>0.80848629141429484</v>
      </c>
      <c r="O20" s="90">
        <f>(O11-$O$10)/($O$9-$O$10)</f>
        <v>1.750915744301583E-2</v>
      </c>
      <c r="P20" s="90">
        <f>(P11-$P$12)/($P$13-$P$12)</f>
        <v>0.10671871760263255</v>
      </c>
      <c r="Q20" s="90">
        <f>(Q11-$Q$13)/($Q$9-$Q$13)</f>
        <v>0.93182119745851866</v>
      </c>
      <c r="R20" s="92">
        <f>($R$10-R11)/($R$10-$R$9)</f>
        <v>0.45796032193368591</v>
      </c>
    </row>
    <row r="21" spans="1:18" s="88" customFormat="1" ht="15" x14ac:dyDescent="0.25">
      <c r="A21" s="31" t="s">
        <v>18</v>
      </c>
      <c r="B21" s="90">
        <f t="shared" si="0"/>
        <v>0.68213058419243955</v>
      </c>
      <c r="C21" s="90">
        <f>(C$10-C12)/($C$10-$C$9)</f>
        <v>0.3060431554846319</v>
      </c>
      <c r="D21" s="90">
        <f>(D12-$D$13)/($D$9-$D$13)</f>
        <v>0.48690592574818131</v>
      </c>
      <c r="E21" s="90">
        <f>($E$13-E12)/($E$13-$E$9)</f>
        <v>0.43714821763602241</v>
      </c>
      <c r="F21" s="90">
        <f>(F12-$F$12)/($F$13-$F$12)</f>
        <v>0</v>
      </c>
      <c r="G21" s="90">
        <f>(G12-$G$13)/($G$10-$G$13)</f>
        <v>0.42990654205607448</v>
      </c>
      <c r="H21" s="90">
        <f>(H12-$H$13)/($H$10-$H$13)</f>
        <v>0.11253466180418992</v>
      </c>
      <c r="I21" s="90">
        <f>(I12-$I$13)/($I$10-$I$13)</f>
        <v>0.85039687601058556</v>
      </c>
      <c r="J21" s="90">
        <f>(J12-$J$11)/($J$10-$J$11)</f>
        <v>0.20272753744527536</v>
      </c>
      <c r="K21" s="90">
        <f>(K12-$K$13)/($K$9-$K$13)</f>
        <v>0.12514090672622585</v>
      </c>
      <c r="L21" s="90">
        <f>(L12-$L$13)/($L$9-$L$13)</f>
        <v>0.32858335955816603</v>
      </c>
      <c r="M21" s="90">
        <f>(M12-$M$13)/($M$9-$M$13)</f>
        <v>0.39667503337271676</v>
      </c>
      <c r="N21" s="91">
        <f>($N$12-N12)/($N$12-$N$13)</f>
        <v>0</v>
      </c>
      <c r="O21" s="90">
        <f>(O12-$O$10)/($O$9-$O$10)</f>
        <v>0.23869490206329122</v>
      </c>
      <c r="P21" s="90">
        <f>(P12-$P$12)/($P$13-$P$12)</f>
        <v>0</v>
      </c>
      <c r="Q21" s="90">
        <f>(Q12-$Q$13)/($Q$9-$Q$13)</f>
        <v>0.29306408231158276</v>
      </c>
      <c r="R21" s="92">
        <f>($R$10-R12)/($R$10-$R$9)</f>
        <v>0.48426003588315447</v>
      </c>
    </row>
    <row r="22" spans="1:18" s="88" customFormat="1" ht="15" x14ac:dyDescent="0.25">
      <c r="A22" s="31" t="s">
        <v>212</v>
      </c>
      <c r="B22" s="90">
        <f t="shared" si="0"/>
        <v>0</v>
      </c>
      <c r="C22" s="90">
        <f>(C$10-C13)/($C$10-$C$9)</f>
        <v>0.85027405814195522</v>
      </c>
      <c r="D22" s="90">
        <f>(D13-$D$13)/($D$9-$D$13)</f>
        <v>0</v>
      </c>
      <c r="E22" s="90">
        <f>($E$13-E13)/($E$13-$E$9)</f>
        <v>0</v>
      </c>
      <c r="F22" s="90">
        <f>(F13-$F$12)/($F$13-$F$12)</f>
        <v>1</v>
      </c>
      <c r="G22" s="90">
        <f>(G13-$G$13)/($G$10-$G$13)</f>
        <v>0</v>
      </c>
      <c r="H22" s="90">
        <f>(H13-$H$13)/($H$10-$H$13)</f>
        <v>0</v>
      </c>
      <c r="I22" s="90">
        <f>(I13-$I$13)/($I$10-$I$13)</f>
        <v>0</v>
      </c>
      <c r="J22" s="90">
        <f>(J13-$J$11)/($J$10-$J$11)</f>
        <v>0.44023050544444364</v>
      </c>
      <c r="K22" s="90">
        <f>(K13-$K$13)/($K$9-$K$13)</f>
        <v>0</v>
      </c>
      <c r="L22" s="90">
        <f>(L13-$L$13)/($L$9-$L$13)</f>
        <v>0</v>
      </c>
      <c r="M22" s="90">
        <f>(M13-$M$13)/($M$9-$M$13)</f>
        <v>0</v>
      </c>
      <c r="N22" s="91">
        <f>($N$12-N13)/($N$12-$N$13)</f>
        <v>1</v>
      </c>
      <c r="O22" s="90">
        <f>(O13-$O$10)/($O$9-$O$10)</f>
        <v>0.11267524455949185</v>
      </c>
      <c r="P22" s="90">
        <f>(P13-$P$12)/($P$13-$P$12)</f>
        <v>1</v>
      </c>
      <c r="Q22" s="90">
        <f>(Q13-$Q$13)/($Q$9-$Q$13)</f>
        <v>0</v>
      </c>
      <c r="R22" s="92">
        <f>($R$10-R13)/($R$10-$R$9)</f>
        <v>0.22332975760643289</v>
      </c>
    </row>
    <row r="23" spans="1:18" s="88" customFormat="1" ht="15" x14ac:dyDescent="0.25">
      <c r="A23" s="89"/>
    </row>
    <row r="24" spans="1:18" ht="15" x14ac:dyDescent="0.25">
      <c r="A24" s="198" t="s">
        <v>159</v>
      </c>
      <c r="B24" s="198"/>
      <c r="C24" s="198"/>
      <c r="D24" s="198"/>
      <c r="E24" s="198"/>
      <c r="F24" s="198"/>
      <c r="G24" s="198"/>
      <c r="H24" s="198"/>
      <c r="I24" s="198"/>
      <c r="J24" s="198"/>
      <c r="K24" s="198"/>
      <c r="L24" s="198"/>
      <c r="M24" s="198"/>
      <c r="N24" s="198"/>
      <c r="O24" s="198"/>
      <c r="P24" s="198"/>
      <c r="Q24" s="198"/>
      <c r="R24" s="198"/>
    </row>
    <row r="25" spans="1:18" ht="15" x14ac:dyDescent="0.25">
      <c r="B25" s="198" t="s">
        <v>54</v>
      </c>
      <c r="C25" s="198"/>
      <c r="D25" s="198"/>
      <c r="E25" s="198" t="s">
        <v>57</v>
      </c>
      <c r="F25" s="198"/>
      <c r="G25" s="198"/>
      <c r="H25" s="198" t="s">
        <v>58</v>
      </c>
      <c r="I25" s="198"/>
      <c r="J25" s="198"/>
      <c r="K25" s="198" t="s">
        <v>59</v>
      </c>
      <c r="L25" s="198"/>
      <c r="M25" s="198"/>
      <c r="N25" s="198"/>
      <c r="O25" s="198" t="s">
        <v>60</v>
      </c>
      <c r="P25" s="198"/>
      <c r="Q25" s="198"/>
      <c r="R25" s="78" t="s">
        <v>64</v>
      </c>
    </row>
    <row r="26" spans="1:18" ht="15" x14ac:dyDescent="0.25">
      <c r="A26" s="31" t="s">
        <v>15</v>
      </c>
      <c r="B26" s="196">
        <f>($B$14*B18)+($C$14*C18)+($D$14*D18)</f>
        <v>0.56460481099656346</v>
      </c>
      <c r="C26" s="196"/>
      <c r="D26" s="196"/>
      <c r="E26" s="196">
        <f>($E$14*E18)+($F$14*F18)+($G$14*G18)</f>
        <v>0.92715504275500371</v>
      </c>
      <c r="F26" s="196"/>
      <c r="G26" s="196"/>
      <c r="H26" s="196">
        <f>($H$14*H18)+($I$14*I18)+($J$14*J18)</f>
        <v>0.62685049260855175</v>
      </c>
      <c r="I26" s="196"/>
      <c r="J26" s="196"/>
      <c r="K26" s="196">
        <f>($K$14*K18)+($L$14*L18)+($M$14*M18)+($N$14*N18)</f>
        <v>0.50456376455381724</v>
      </c>
      <c r="L26" s="196"/>
      <c r="M26" s="196"/>
      <c r="N26" s="196"/>
      <c r="O26" s="196">
        <f>($O$14*O18)+($P$14*P18)+($Q$14*Q18)</f>
        <v>0.81761497515371673</v>
      </c>
      <c r="P26" s="196"/>
      <c r="Q26" s="196"/>
      <c r="R26" s="93">
        <f>R18*$R$14</f>
        <v>1</v>
      </c>
    </row>
    <row r="27" spans="1:18" ht="15" x14ac:dyDescent="0.25">
      <c r="A27" s="31" t="s">
        <v>16</v>
      </c>
      <c r="B27" s="196">
        <f t="shared" ref="B27:B30" si="1">($B$14*B19)+($C$14*C19)+($D$14*D19)</f>
        <v>0.80837316000187309</v>
      </c>
      <c r="C27" s="196"/>
      <c r="D27" s="196"/>
      <c r="E27" s="196">
        <f t="shared" ref="E27:E30" si="2">($E$14*E19)+($F$14*F19)+($G$14*G19)</f>
        <v>0.79347350395782823</v>
      </c>
      <c r="F27" s="196"/>
      <c r="G27" s="196"/>
      <c r="H27" s="196">
        <f t="shared" ref="H27:H30" si="3">($H$14*H19)+($I$14*I19)+($J$14*J19)</f>
        <v>1</v>
      </c>
      <c r="I27" s="196"/>
      <c r="J27" s="196"/>
      <c r="K27" s="196">
        <f t="shared" ref="K27:K30" si="4">($K$14*K19)+($L$14*L19)+($M$14*M19)+($N$14*N19)</f>
        <v>0.1933605363734803</v>
      </c>
      <c r="L27" s="196"/>
      <c r="M27" s="196"/>
      <c r="N27" s="196"/>
      <c r="O27" s="196">
        <f t="shared" ref="O27:O30" si="5">($O$14*O19)+($P$14*P19)+($Q$14*Q19)</f>
        <v>0.3259563670239104</v>
      </c>
      <c r="P27" s="196"/>
      <c r="Q27" s="196"/>
      <c r="R27" s="93">
        <f t="shared" ref="R27:R30" si="6">R19*$R$14</f>
        <v>0</v>
      </c>
    </row>
    <row r="28" spans="1:18" ht="15" x14ac:dyDescent="0.25">
      <c r="A28" s="31" t="s">
        <v>17</v>
      </c>
      <c r="B28" s="196">
        <f t="shared" si="1"/>
        <v>0.90120597080211018</v>
      </c>
      <c r="C28" s="196"/>
      <c r="D28" s="196"/>
      <c r="E28" s="196">
        <f t="shared" si="2"/>
        <v>7.5045760194037373E-2</v>
      </c>
      <c r="F28" s="196"/>
      <c r="G28" s="196"/>
      <c r="H28" s="196">
        <f t="shared" si="3"/>
        <v>0.37562268457649794</v>
      </c>
      <c r="I28" s="196"/>
      <c r="J28" s="196"/>
      <c r="K28" s="196">
        <f t="shared" si="4"/>
        <v>0.15420521500625708</v>
      </c>
      <c r="L28" s="196"/>
      <c r="M28" s="196"/>
      <c r="N28" s="196"/>
      <c r="O28" s="196">
        <f t="shared" si="5"/>
        <v>0.49696756749067145</v>
      </c>
      <c r="P28" s="196"/>
      <c r="Q28" s="196"/>
      <c r="R28" s="93">
        <f t="shared" si="6"/>
        <v>0.45796032193368591</v>
      </c>
    </row>
    <row r="29" spans="1:18" ht="15" x14ac:dyDescent="0.25">
      <c r="A29" s="31" t="s">
        <v>18</v>
      </c>
      <c r="B29" s="196">
        <f t="shared" si="1"/>
        <v>0.5964337711196297</v>
      </c>
      <c r="C29" s="196"/>
      <c r="D29" s="196"/>
      <c r="E29" s="196">
        <f t="shared" si="2"/>
        <v>0.30165874699724698</v>
      </c>
      <c r="F29" s="196"/>
      <c r="G29" s="196"/>
      <c r="H29" s="196">
        <f t="shared" si="3"/>
        <v>0.31954843426606017</v>
      </c>
      <c r="I29" s="196"/>
      <c r="J29" s="196"/>
      <c r="K29" s="196">
        <f t="shared" si="4"/>
        <v>0.18162745049953627</v>
      </c>
      <c r="L29" s="196"/>
      <c r="M29" s="196"/>
      <c r="N29" s="196"/>
      <c r="O29" s="196">
        <f t="shared" si="5"/>
        <v>0.20620576667161419</v>
      </c>
      <c r="P29" s="196"/>
      <c r="Q29" s="196"/>
      <c r="R29" s="93">
        <f t="shared" si="6"/>
        <v>0.48426003588315447</v>
      </c>
    </row>
    <row r="30" spans="1:18" ht="15" x14ac:dyDescent="0.25">
      <c r="A30" s="31" t="s">
        <v>196</v>
      </c>
      <c r="B30" s="196">
        <f t="shared" si="1"/>
        <v>0.12754110872129329</v>
      </c>
      <c r="C30" s="196"/>
      <c r="D30" s="196"/>
      <c r="E30" s="196">
        <f t="shared" si="2"/>
        <v>0.3</v>
      </c>
      <c r="F30" s="196"/>
      <c r="G30" s="196"/>
      <c r="H30" s="196">
        <f t="shared" si="3"/>
        <v>0.11005762636111091</v>
      </c>
      <c r="I30" s="196"/>
      <c r="J30" s="196"/>
      <c r="K30" s="196">
        <f t="shared" si="4"/>
        <v>2.5000000000000001E-3</v>
      </c>
      <c r="L30" s="196"/>
      <c r="M30" s="196"/>
      <c r="N30" s="196"/>
      <c r="O30" s="196">
        <f t="shared" si="5"/>
        <v>0.27816881113987296</v>
      </c>
      <c r="P30" s="196"/>
      <c r="Q30" s="196"/>
      <c r="R30" s="93">
        <f t="shared" si="6"/>
        <v>0.22332975760643289</v>
      </c>
    </row>
    <row r="31" spans="1:18" ht="15" x14ac:dyDescent="0.25">
      <c r="A31" s="195" t="s">
        <v>68</v>
      </c>
      <c r="B31" s="195"/>
    </row>
    <row r="32" spans="1:18" ht="15" x14ac:dyDescent="0.25">
      <c r="A32" s="68"/>
      <c r="B32" s="94" t="s">
        <v>65</v>
      </c>
    </row>
    <row r="33" spans="1:2" ht="18" x14ac:dyDescent="0.25">
      <c r="A33" s="95" t="s">
        <v>15</v>
      </c>
      <c r="B33" s="96">
        <f>($B$15*B26)+($E$15*E26)+($H$15*H26)+($K$15*K26)+($O$15*O26)+(R26*$R$15)</f>
        <v>0.70639631969815886</v>
      </c>
    </row>
    <row r="34" spans="1:2" ht="18" x14ac:dyDescent="0.25">
      <c r="A34" s="95" t="s">
        <v>16</v>
      </c>
      <c r="B34" s="96">
        <f>($B$15*B27)+($E$15*E27)+($H$15*H27)+($K$15*K27)+($O$15*O27)+(R27*$R$15)</f>
        <v>0.59163707676902744</v>
      </c>
    </row>
    <row r="35" spans="1:2" ht="18" x14ac:dyDescent="0.25">
      <c r="A35" s="95" t="s">
        <v>17</v>
      </c>
      <c r="B35" s="96">
        <f t="shared" ref="B35:B37" si="7">($B$15*B28)+($E$15*E28)+($H$15*H28)+($K$15*K28)+($O$15*O28)+(R28*$R$15)</f>
        <v>0.39670871505821625</v>
      </c>
    </row>
    <row r="36" spans="1:2" ht="18" x14ac:dyDescent="0.25">
      <c r="A36" s="95" t="s">
        <v>18</v>
      </c>
      <c r="B36" s="96">
        <f t="shared" si="7"/>
        <v>0.34890026083197151</v>
      </c>
    </row>
    <row r="37" spans="1:2" ht="18" x14ac:dyDescent="0.25">
      <c r="A37" s="95" t="s">
        <v>196</v>
      </c>
      <c r="B37" s="96">
        <f t="shared" si="7"/>
        <v>0.1581696038911114</v>
      </c>
    </row>
    <row r="39" spans="1:2" x14ac:dyDescent="0.2">
      <c r="A39" s="182" t="s">
        <v>236</v>
      </c>
    </row>
  </sheetData>
  <customSheetViews>
    <customSheetView guid="{9B3B61F6-A1A7-41F3-8F3A-A7753DA80303}" hiddenRows="1" topLeftCell="A22">
      <selection activeCell="D41" sqref="D41"/>
      <pageMargins left="0.7" right="0.7" top="0.75" bottom="0.75" header="0.3" footer="0.3"/>
      <pageSetup orientation="portrait" r:id="rId1"/>
      <headerFooter>
        <oddHeader>&amp;L&amp;"Calibri"&amp;10&amp;K000000Signify Classified - Internal&amp;1#</oddHeader>
      </headerFooter>
    </customSheetView>
    <customSheetView guid="{7C37EEDC-D8AA-4F75-97FC-50D5DCC14924}" scale="85" hiddenRows="1" topLeftCell="A3">
      <selection activeCell="G34" sqref="G34"/>
      <pageMargins left="0.7" right="0.7" top="0.75" bottom="0.75" header="0.3" footer="0.3"/>
      <pageSetup orientation="portrait" r:id="rId2"/>
      <headerFooter>
        <oddHeader>&amp;L&amp;"Calibri"&amp;10&amp;K000000Signify Classified - Internal&amp;1#</oddHeader>
      </headerFooter>
    </customSheetView>
  </customSheetViews>
  <mergeCells count="46">
    <mergeCell ref="A3:R4"/>
    <mergeCell ref="B25:D25"/>
    <mergeCell ref="E25:G25"/>
    <mergeCell ref="H25:J25"/>
    <mergeCell ref="K25:N25"/>
    <mergeCell ref="O25:Q25"/>
    <mergeCell ref="O15:Q15"/>
    <mergeCell ref="B6:D6"/>
    <mergeCell ref="E6:G6"/>
    <mergeCell ref="H6:J6"/>
    <mergeCell ref="K6:N6"/>
    <mergeCell ref="O6:Q6"/>
    <mergeCell ref="A6:A8"/>
    <mergeCell ref="A5:R5"/>
    <mergeCell ref="E27:G27"/>
    <mergeCell ref="B15:D15"/>
    <mergeCell ref="E15:G15"/>
    <mergeCell ref="B26:D26"/>
    <mergeCell ref="B27:D27"/>
    <mergeCell ref="A24:R24"/>
    <mergeCell ref="A16:R16"/>
    <mergeCell ref="H15:J15"/>
    <mergeCell ref="K15:N15"/>
    <mergeCell ref="E26:G26"/>
    <mergeCell ref="H26:J26"/>
    <mergeCell ref="E28:G28"/>
    <mergeCell ref="H28:J28"/>
    <mergeCell ref="E29:G29"/>
    <mergeCell ref="H29:J29"/>
    <mergeCell ref="B28:D28"/>
    <mergeCell ref="A31:B31"/>
    <mergeCell ref="O30:Q30"/>
    <mergeCell ref="H27:J27"/>
    <mergeCell ref="O26:Q26"/>
    <mergeCell ref="O27:Q27"/>
    <mergeCell ref="O28:Q28"/>
    <mergeCell ref="O29:Q29"/>
    <mergeCell ref="B29:D29"/>
    <mergeCell ref="B30:D30"/>
    <mergeCell ref="E30:G30"/>
    <mergeCell ref="H30:J30"/>
    <mergeCell ref="K26:N26"/>
    <mergeCell ref="K27:N27"/>
    <mergeCell ref="K28:N28"/>
    <mergeCell ref="K29:N29"/>
    <mergeCell ref="K30:N30"/>
  </mergeCells>
  <conditionalFormatting sqref="B33:B37">
    <cfRule type="dataBar" priority="1">
      <dataBar>
        <cfvo type="min"/>
        <cfvo type="max"/>
        <color rgb="FF63C384"/>
      </dataBar>
      <extLst>
        <ext xmlns:x14="http://schemas.microsoft.com/office/spreadsheetml/2009/9/main" uri="{B025F937-C7B1-47D3-B67F-A62EFF666E3E}">
          <x14:id>{9481391C-EDB5-4388-8EA1-9121DE2EDAC8}</x14:id>
        </ext>
      </extLst>
    </cfRule>
  </conditionalFormatting>
  <dataValidations count="1">
    <dataValidation type="list" allowBlank="1" showInputMessage="1" showErrorMessage="1" sqref="B7:Q7" xr:uid="{00000000-0002-0000-0100-000000000000}">
      <formula1>$C$1:$C$2</formula1>
    </dataValidation>
  </dataValidations>
  <pageMargins left="0.7" right="0.7" top="0.75" bottom="0.75" header="0.3" footer="0.3"/>
  <pageSetup orientation="portrait" r:id="rId3"/>
  <headerFooter>
    <oddHeader>&amp;L&amp;"Calibri"&amp;10&amp;K000000Signify Classified - Internal&amp;1#</oddHeader>
  </headerFooter>
  <extLst>
    <ext xmlns:x14="http://schemas.microsoft.com/office/spreadsheetml/2009/9/main" uri="{78C0D931-6437-407d-A8EE-F0AAD7539E65}">
      <x14:conditionalFormattings>
        <x14:conditionalFormatting xmlns:xm="http://schemas.microsoft.com/office/excel/2006/main">
          <x14:cfRule type="dataBar" id="{9481391C-EDB5-4388-8EA1-9121DE2EDAC8}">
            <x14:dataBar minLength="0" maxLength="100" border="1" negativeBarBorderColorSameAsPositive="0">
              <x14:cfvo type="autoMin"/>
              <x14:cfvo type="autoMax"/>
              <x14:borderColor rgb="FF63C384"/>
              <x14:negativeFillColor rgb="FFFF0000"/>
              <x14:negativeBorderColor rgb="FFFF0000"/>
              <x14:axisColor rgb="FF000000"/>
            </x14:dataBar>
          </x14:cfRule>
          <xm:sqref>B33:B37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topLeftCell="A22" workbookViewId="0">
      <selection activeCell="A41" sqref="A41:XFD41"/>
    </sheetView>
  </sheetViews>
  <sheetFormatPr defaultColWidth="8.85546875" defaultRowHeight="14.25" x14ac:dyDescent="0.2"/>
  <cols>
    <col min="1" max="1" width="26.28515625" style="75" customWidth="1"/>
    <col min="2" max="16384" width="8.85546875" style="24"/>
  </cols>
  <sheetData>
    <row r="1" spans="1:2" x14ac:dyDescent="0.2">
      <c r="A1" s="83">
        <v>4.0000000000000001E-3</v>
      </c>
      <c r="B1" s="24" t="s">
        <v>52</v>
      </c>
    </row>
    <row r="2" spans="1:2" ht="15" x14ac:dyDescent="0.25">
      <c r="A2" s="74">
        <f>A13</f>
        <v>6583330908000</v>
      </c>
      <c r="B2" s="31" t="str">
        <f>B13</f>
        <v>Total Advances</v>
      </c>
    </row>
    <row r="3" spans="1:2" ht="15" x14ac:dyDescent="0.25">
      <c r="A3" s="74">
        <f>A1*A2</f>
        <v>26333323632</v>
      </c>
      <c r="B3" s="31" t="s">
        <v>20</v>
      </c>
    </row>
    <row r="4" spans="1:2" x14ac:dyDescent="0.2">
      <c r="A4" s="75">
        <v>5190181000</v>
      </c>
      <c r="B4" s="24" t="s">
        <v>50</v>
      </c>
    </row>
    <row r="5" spans="1:2" x14ac:dyDescent="0.2">
      <c r="A5" s="75">
        <v>1057759776000</v>
      </c>
      <c r="B5" s="24" t="s">
        <v>185</v>
      </c>
    </row>
    <row r="6" spans="1:2" ht="15" x14ac:dyDescent="0.25">
      <c r="A6" s="74">
        <f>A20</f>
        <v>174867283000</v>
      </c>
      <c r="B6" s="31" t="str">
        <f>B20</f>
        <v>PAT</v>
      </c>
    </row>
    <row r="7" spans="1:2" ht="15" x14ac:dyDescent="0.25">
      <c r="A7" s="74">
        <f>A4+A5+A6</f>
        <v>1237817240000</v>
      </c>
      <c r="B7" s="31" t="s">
        <v>21</v>
      </c>
    </row>
    <row r="8" spans="1:2" ht="15" x14ac:dyDescent="0.25">
      <c r="A8" s="74">
        <f>A7-A3</f>
        <v>1211483916368</v>
      </c>
      <c r="B8" s="31" t="s">
        <v>216</v>
      </c>
    </row>
    <row r="9" spans="1:2" ht="15" x14ac:dyDescent="0.25">
      <c r="A9" s="74">
        <f>A8/A24</f>
        <v>0.11386829898451606</v>
      </c>
      <c r="B9" s="31" t="s">
        <v>1</v>
      </c>
    </row>
    <row r="10" spans="1:2" x14ac:dyDescent="0.2">
      <c r="A10" s="75">
        <v>1883648036000</v>
      </c>
      <c r="B10" s="24" t="s">
        <v>217</v>
      </c>
    </row>
    <row r="11" spans="1:2" x14ac:dyDescent="0.2">
      <c r="A11" s="75">
        <v>2422002416000</v>
      </c>
      <c r="B11" s="24" t="s">
        <v>23</v>
      </c>
    </row>
    <row r="12" spans="1:2" ht="15" x14ac:dyDescent="0.25">
      <c r="A12" s="74">
        <f>A10/A11</f>
        <v>0.77772343394722687</v>
      </c>
      <c r="B12" s="31" t="s">
        <v>218</v>
      </c>
    </row>
    <row r="13" spans="1:2" x14ac:dyDescent="0.2">
      <c r="A13" s="75">
        <v>6583330908000</v>
      </c>
      <c r="B13" s="24" t="s">
        <v>25</v>
      </c>
    </row>
    <row r="14" spans="1:2" x14ac:dyDescent="0.2">
      <c r="A14" s="75">
        <f>0.013*A13</f>
        <v>85583301804</v>
      </c>
      <c r="B14" s="24" t="s">
        <v>26</v>
      </c>
    </row>
    <row r="15" spans="1:2" x14ac:dyDescent="0.2">
      <c r="A15" s="75">
        <f>A13-A14</f>
        <v>6497747606196</v>
      </c>
      <c r="B15" s="24" t="s">
        <v>27</v>
      </c>
    </row>
    <row r="16" spans="1:2" ht="15" x14ac:dyDescent="0.25">
      <c r="A16" s="74">
        <f>A15/A13</f>
        <v>0.98699999999999999</v>
      </c>
      <c r="B16" s="31" t="s">
        <v>28</v>
      </c>
    </row>
    <row r="17" spans="1:2" x14ac:dyDescent="0.2">
      <c r="A17" s="75">
        <v>7887706396000</v>
      </c>
      <c r="B17" s="24" t="s">
        <v>29</v>
      </c>
    </row>
    <row r="18" spans="1:2" ht="15" x14ac:dyDescent="0.25">
      <c r="A18" s="74">
        <f>A13/A17</f>
        <v>0.83463184067532326</v>
      </c>
      <c r="B18" s="31" t="s">
        <v>30</v>
      </c>
    </row>
    <row r="19" spans="1:2" x14ac:dyDescent="0.2">
      <c r="A19" s="75">
        <v>88000</v>
      </c>
      <c r="B19" s="24" t="s">
        <v>31</v>
      </c>
    </row>
    <row r="20" spans="1:2" x14ac:dyDescent="0.2">
      <c r="A20" s="75">
        <v>174867283000</v>
      </c>
      <c r="B20" s="24" t="s">
        <v>32</v>
      </c>
    </row>
    <row r="21" spans="1:2" x14ac:dyDescent="0.2">
      <c r="A21" s="75">
        <f>A13+A17</f>
        <v>14471037304000</v>
      </c>
      <c r="B21" s="24" t="s">
        <v>33</v>
      </c>
    </row>
    <row r="22" spans="1:2" ht="15" x14ac:dyDescent="0.25">
      <c r="A22" s="74">
        <f>A21/A19</f>
        <v>164443605.72727272</v>
      </c>
      <c r="B22" s="31" t="s">
        <v>219</v>
      </c>
    </row>
    <row r="23" spans="1:2" ht="15" x14ac:dyDescent="0.25">
      <c r="A23" s="74">
        <f>A20/A19</f>
        <v>1987128.2159090908</v>
      </c>
      <c r="B23" s="31" t="s">
        <v>220</v>
      </c>
    </row>
    <row r="24" spans="1:2" x14ac:dyDescent="0.2">
      <c r="A24" s="75">
        <v>10639343234000</v>
      </c>
      <c r="B24" s="24" t="s">
        <v>35</v>
      </c>
    </row>
    <row r="25" spans="1:2" ht="15" x14ac:dyDescent="0.25">
      <c r="A25" s="76">
        <f>A20/A24</f>
        <v>1.6435909543850328E-2</v>
      </c>
      <c r="B25" s="31" t="s">
        <v>8</v>
      </c>
    </row>
    <row r="26" spans="1:2" x14ac:dyDescent="0.2">
      <c r="A26" s="75">
        <v>802413550000</v>
      </c>
      <c r="B26" s="24" t="s">
        <v>141</v>
      </c>
    </row>
    <row r="27" spans="1:2" x14ac:dyDescent="0.2">
      <c r="A27" s="75">
        <v>401464913000</v>
      </c>
      <c r="B27" s="24" t="s">
        <v>37</v>
      </c>
    </row>
    <row r="28" spans="1:2" x14ac:dyDescent="0.2">
      <c r="A28" s="75">
        <f>A26-A27</f>
        <v>400948637000</v>
      </c>
      <c r="B28" s="24" t="s">
        <v>38</v>
      </c>
    </row>
    <row r="29" spans="1:2" ht="15" x14ac:dyDescent="0.25">
      <c r="A29" s="74">
        <f>A28/A24</f>
        <v>3.7685468753249171E-2</v>
      </c>
      <c r="B29" s="31" t="s">
        <v>39</v>
      </c>
    </row>
    <row r="30" spans="1:2" x14ac:dyDescent="0.2">
      <c r="A30" s="75">
        <v>326248100000</v>
      </c>
      <c r="B30" s="24" t="s">
        <v>40</v>
      </c>
    </row>
    <row r="31" spans="1:2" ht="15" x14ac:dyDescent="0.25">
      <c r="A31" s="74">
        <f>A30/A24</f>
        <v>3.0664308202541443E-2</v>
      </c>
      <c r="B31" s="31" t="s">
        <v>41</v>
      </c>
    </row>
    <row r="32" spans="1:2" x14ac:dyDescent="0.2">
      <c r="A32" s="75">
        <v>226903600000</v>
      </c>
      <c r="B32" s="24" t="s">
        <v>42</v>
      </c>
    </row>
    <row r="33" spans="1:2" ht="15" x14ac:dyDescent="0.25">
      <c r="A33" s="75">
        <f>A32/A20</f>
        <v>1.2975760594393178</v>
      </c>
      <c r="B33" s="31" t="s">
        <v>43</v>
      </c>
    </row>
    <row r="34" spans="1:2" x14ac:dyDescent="0.2">
      <c r="A34" s="75">
        <v>1046704730000</v>
      </c>
      <c r="B34" s="24" t="s">
        <v>45</v>
      </c>
    </row>
    <row r="35" spans="1:2" ht="15" x14ac:dyDescent="0.25">
      <c r="A35" s="75">
        <f>A34/A24</f>
        <v>9.8380577351340676E-2</v>
      </c>
      <c r="B35" s="31" t="s">
        <v>46</v>
      </c>
    </row>
    <row r="36" spans="1:2" ht="15" x14ac:dyDescent="0.25">
      <c r="A36" s="74">
        <f>A10/A24</f>
        <v>0.17704551818390935</v>
      </c>
      <c r="B36" s="31" t="s">
        <v>214</v>
      </c>
    </row>
    <row r="37" spans="1:2" x14ac:dyDescent="0.2">
      <c r="A37" s="75">
        <v>182446097000</v>
      </c>
      <c r="B37" s="24" t="s">
        <v>48</v>
      </c>
    </row>
    <row r="38" spans="1:2" x14ac:dyDescent="0.2">
      <c r="A38" s="75">
        <f>A34+A37</f>
        <v>1229150827000</v>
      </c>
      <c r="B38" s="24" t="s">
        <v>47</v>
      </c>
    </row>
    <row r="39" spans="1:2" ht="15" x14ac:dyDescent="0.25">
      <c r="A39" s="74">
        <f>A38/A17</f>
        <v>0.15583120938975681</v>
      </c>
      <c r="B39" s="31" t="s">
        <v>49</v>
      </c>
    </row>
    <row r="41" spans="1:2" s="181" customFormat="1" ht="11.25" x14ac:dyDescent="0.2">
      <c r="A41" s="180" t="s">
        <v>241</v>
      </c>
    </row>
  </sheetData>
  <customSheetViews>
    <customSheetView guid="{9B3B61F6-A1A7-41F3-8F3A-A7753DA80303}" topLeftCell="A10">
      <selection activeCell="B6" sqref="B6"/>
      <pageMargins left="0.7" right="0.7" top="0.75" bottom="0.75" header="0.3" footer="0.3"/>
      <pageSetup paperSize="9" orientation="portrait" r:id="rId1"/>
      <headerFooter>
        <oddHeader>&amp;L&amp;"Calibri"&amp;10&amp;K000000Signify Classified - Internal&amp;1#</oddHeader>
      </headerFooter>
    </customSheetView>
    <customSheetView guid="{7C37EEDC-D8AA-4F75-97FC-50D5DCC14924}" topLeftCell="A10">
      <selection activeCell="B6" sqref="B6"/>
      <pageMargins left="0.7" right="0.7" top="0.75" bottom="0.75" header="0.3" footer="0.3"/>
      <pageSetup paperSize="9" orientation="portrait" r:id="rId2"/>
      <headerFooter>
        <oddHeader>&amp;L&amp;"Calibri"&amp;10&amp;K000000Signify Classified - Internal&amp;1#</oddHeader>
      </headerFooter>
    </customSheetView>
  </customSheetViews>
  <pageMargins left="0.7" right="0.7" top="0.75" bottom="0.75" header="0.3" footer="0.3"/>
  <pageSetup paperSize="9" orientation="portrait" r:id="rId3"/>
  <headerFooter>
    <oddHeader>&amp;L&amp;"Calibri"&amp;10&amp;K000000Signify Classified - Internal&amp;1#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1"/>
  <sheetViews>
    <sheetView topLeftCell="A25" workbookViewId="0">
      <selection activeCell="A41" sqref="A41:XFD41"/>
    </sheetView>
  </sheetViews>
  <sheetFormatPr defaultColWidth="8.85546875" defaultRowHeight="14.25" x14ac:dyDescent="0.2"/>
  <cols>
    <col min="1" max="1" width="26.28515625" style="75" customWidth="1"/>
    <col min="2" max="16384" width="8.85546875" style="24"/>
  </cols>
  <sheetData>
    <row r="1" spans="1:2" x14ac:dyDescent="0.2">
      <c r="A1" s="75">
        <v>6.4000000000000003E-3</v>
      </c>
      <c r="B1" s="24" t="s">
        <v>52</v>
      </c>
    </row>
    <row r="2" spans="1:2" ht="15" x14ac:dyDescent="0.25">
      <c r="A2" s="74">
        <f>A13</f>
        <v>2035338628000</v>
      </c>
      <c r="B2" s="31" t="str">
        <f>B13</f>
        <v>Total Advances</v>
      </c>
    </row>
    <row r="3" spans="1:2" ht="15" x14ac:dyDescent="0.25">
      <c r="A3" s="74">
        <f>A1*A2</f>
        <v>13026167219.200001</v>
      </c>
      <c r="B3" s="31" t="s">
        <v>20</v>
      </c>
    </row>
    <row r="4" spans="1:2" x14ac:dyDescent="0.2">
      <c r="A4" s="75">
        <v>4605934000</v>
      </c>
      <c r="B4" s="24" t="s">
        <v>50</v>
      </c>
    </row>
    <row r="5" spans="1:2" x14ac:dyDescent="0.2">
      <c r="A5" s="75">
        <v>252976864000</v>
      </c>
      <c r="B5" s="24" t="s">
        <v>51</v>
      </c>
    </row>
    <row r="6" spans="1:2" ht="15" x14ac:dyDescent="0.25">
      <c r="A6" s="74">
        <f>A20</f>
        <v>42245637000</v>
      </c>
      <c r="B6" s="31" t="str">
        <f>B20</f>
        <v>PAT</v>
      </c>
    </row>
    <row r="7" spans="1:2" ht="15" x14ac:dyDescent="0.25">
      <c r="A7" s="74">
        <f>A4+A5+A6</f>
        <v>299828435000</v>
      </c>
      <c r="B7" s="31" t="s">
        <v>21</v>
      </c>
    </row>
    <row r="8" spans="1:2" ht="15" x14ac:dyDescent="0.25">
      <c r="A8" s="74">
        <f>A7-A3</f>
        <v>286802267780.79999</v>
      </c>
      <c r="B8" s="31" t="s">
        <v>216</v>
      </c>
    </row>
    <row r="9" spans="1:2" ht="15" x14ac:dyDescent="0.25">
      <c r="A9" s="74">
        <f>A8/A24</f>
        <v>9.1792703994436398E-2</v>
      </c>
      <c r="B9" s="31" t="s">
        <v>1</v>
      </c>
    </row>
    <row r="10" spans="1:2" x14ac:dyDescent="0.2">
      <c r="A10" s="75">
        <f>488860831000+3445612000</f>
        <v>492306443000</v>
      </c>
      <c r="B10" s="24" t="s">
        <v>217</v>
      </c>
    </row>
    <row r="11" spans="1:2" x14ac:dyDescent="0.2">
      <c r="A11" s="75">
        <v>683989387000</v>
      </c>
      <c r="B11" s="24" t="s">
        <v>23</v>
      </c>
    </row>
    <row r="12" spans="1:2" ht="15" x14ac:dyDescent="0.25">
      <c r="A12" s="74">
        <f>A10/A11</f>
        <v>0.71975742951111021</v>
      </c>
      <c r="B12" s="31" t="s">
        <v>218</v>
      </c>
    </row>
    <row r="13" spans="1:2" x14ac:dyDescent="0.2">
      <c r="A13" s="75">
        <v>2035338628000</v>
      </c>
      <c r="B13" s="24" t="s">
        <v>25</v>
      </c>
    </row>
    <row r="14" spans="1:2" x14ac:dyDescent="0.2">
      <c r="A14" s="75">
        <f>0.0128*A13</f>
        <v>26052334438.400002</v>
      </c>
      <c r="B14" s="24" t="s">
        <v>26</v>
      </c>
    </row>
    <row r="15" spans="1:2" x14ac:dyDescent="0.2">
      <c r="A15" s="75">
        <f>A13-A14</f>
        <v>2009286293561.6001</v>
      </c>
      <c r="B15" s="24" t="s">
        <v>27</v>
      </c>
    </row>
    <row r="16" spans="1:2" ht="15" x14ac:dyDescent="0.25">
      <c r="A16" s="74">
        <f>A15/A13</f>
        <v>0.98720000000000008</v>
      </c>
      <c r="B16" s="31" t="s">
        <v>4</v>
      </c>
    </row>
    <row r="17" spans="1:2" x14ac:dyDescent="0.2">
      <c r="A17" s="77">
        <v>2007381476000</v>
      </c>
      <c r="B17" s="24" t="s">
        <v>29</v>
      </c>
    </row>
    <row r="18" spans="1:2" ht="15" x14ac:dyDescent="0.25">
      <c r="A18" s="74">
        <f>A13/A17</f>
        <v>1.013927174448032</v>
      </c>
      <c r="B18" s="31" t="s">
        <v>30</v>
      </c>
    </row>
    <row r="19" spans="1:2" x14ac:dyDescent="0.2">
      <c r="A19" s="75">
        <v>18238</v>
      </c>
      <c r="B19" s="24" t="s">
        <v>186</v>
      </c>
    </row>
    <row r="20" spans="1:2" x14ac:dyDescent="0.2">
      <c r="A20" s="75">
        <v>42245637000</v>
      </c>
      <c r="B20" s="24" t="s">
        <v>32</v>
      </c>
    </row>
    <row r="21" spans="1:2" x14ac:dyDescent="0.2">
      <c r="A21" s="75">
        <f>A13+A17</f>
        <v>4042720104000</v>
      </c>
      <c r="B21" s="24" t="s">
        <v>33</v>
      </c>
    </row>
    <row r="22" spans="1:2" ht="15" x14ac:dyDescent="0.25">
      <c r="A22" s="74">
        <f>A21/A19</f>
        <v>221664661.91468364</v>
      </c>
      <c r="B22" s="31" t="s">
        <v>219</v>
      </c>
    </row>
    <row r="23" spans="1:2" ht="15" x14ac:dyDescent="0.25">
      <c r="A23" s="74">
        <f>A20/A19</f>
        <v>2316352.5057572103</v>
      </c>
      <c r="B23" s="31" t="s">
        <v>220</v>
      </c>
    </row>
    <row r="24" spans="1:2" x14ac:dyDescent="0.2">
      <c r="A24" s="75">
        <v>3124456033000</v>
      </c>
      <c r="B24" s="24" t="s">
        <v>35</v>
      </c>
    </row>
    <row r="25" spans="1:2" ht="15" x14ac:dyDescent="0.25">
      <c r="A25" s="76">
        <f>A20/A24</f>
        <v>1.3520957425487319E-2</v>
      </c>
      <c r="B25" s="31" t="s">
        <v>8</v>
      </c>
    </row>
    <row r="26" spans="1:2" x14ac:dyDescent="0.2">
      <c r="A26" s="75">
        <v>202674216000</v>
      </c>
      <c r="B26" s="24" t="s">
        <v>141</v>
      </c>
    </row>
    <row r="27" spans="1:2" x14ac:dyDescent="0.2">
      <c r="A27" s="75">
        <v>125303624000</v>
      </c>
      <c r="B27" s="24" t="s">
        <v>37</v>
      </c>
    </row>
    <row r="28" spans="1:2" x14ac:dyDescent="0.2">
      <c r="A28" s="75">
        <f>A26-A27</f>
        <v>77370592000</v>
      </c>
      <c r="B28" s="24" t="s">
        <v>38</v>
      </c>
    </row>
    <row r="29" spans="1:2" ht="15" x14ac:dyDescent="0.25">
      <c r="A29" s="74">
        <f>A28/A24</f>
        <v>2.4762899904119087E-2</v>
      </c>
      <c r="B29" s="31" t="s">
        <v>39</v>
      </c>
    </row>
    <row r="30" spans="1:2" x14ac:dyDescent="0.2">
      <c r="A30" s="75">
        <v>77481130000</v>
      </c>
      <c r="B30" s="24" t="s">
        <v>40</v>
      </c>
    </row>
    <row r="31" spans="1:2" ht="15" x14ac:dyDescent="0.25">
      <c r="A31" s="74">
        <f>A30/A24</f>
        <v>2.4798278222403138E-2</v>
      </c>
      <c r="B31" s="31" t="s">
        <v>41</v>
      </c>
    </row>
    <row r="32" spans="1:2" x14ac:dyDescent="0.2">
      <c r="A32" s="75">
        <v>52127800000</v>
      </c>
      <c r="B32" s="24" t="s">
        <v>42</v>
      </c>
    </row>
    <row r="33" spans="1:2" ht="15" x14ac:dyDescent="0.25">
      <c r="A33" s="75">
        <f>A32/A20</f>
        <v>1.2339215053142647</v>
      </c>
      <c r="B33" s="31" t="s">
        <v>43</v>
      </c>
    </row>
    <row r="34" spans="1:2" x14ac:dyDescent="0.2">
      <c r="A34" s="75">
        <v>114257489000</v>
      </c>
      <c r="B34" s="24" t="s">
        <v>45</v>
      </c>
    </row>
    <row r="35" spans="1:2" ht="15" x14ac:dyDescent="0.25">
      <c r="A35" s="75">
        <f>A34/A24</f>
        <v>3.6568761983920034E-2</v>
      </c>
      <c r="B35" s="31" t="s">
        <v>46</v>
      </c>
    </row>
    <row r="36" spans="1:2" ht="15" x14ac:dyDescent="0.25">
      <c r="A36" s="74">
        <f>A10/A24</f>
        <v>0.15756548909645035</v>
      </c>
      <c r="B36" s="31" t="s">
        <v>214</v>
      </c>
    </row>
    <row r="37" spans="1:2" x14ac:dyDescent="0.2">
      <c r="A37" s="75">
        <v>133086175000</v>
      </c>
      <c r="B37" s="24" t="s">
        <v>48</v>
      </c>
    </row>
    <row r="38" spans="1:2" x14ac:dyDescent="0.2">
      <c r="A38" s="75">
        <f>A34+A37</f>
        <v>247343664000</v>
      </c>
      <c r="B38" s="24" t="s">
        <v>47</v>
      </c>
    </row>
    <row r="39" spans="1:2" ht="15" x14ac:dyDescent="0.25">
      <c r="A39" s="74">
        <f>A38/A17</f>
        <v>0.12321707007721736</v>
      </c>
      <c r="B39" s="31" t="s">
        <v>221</v>
      </c>
    </row>
    <row r="41" spans="1:2" s="181" customFormat="1" ht="11.25" x14ac:dyDescent="0.2">
      <c r="A41" s="180" t="s">
        <v>242</v>
      </c>
    </row>
  </sheetData>
  <customSheetViews>
    <customSheetView guid="{9B3B61F6-A1A7-41F3-8F3A-A7753DA80303}" topLeftCell="A17">
      <selection activeCell="B20" sqref="B20"/>
      <pageMargins left="0.7" right="0.7" top="0.75" bottom="0.75" header="0.3" footer="0.3"/>
      <pageSetup paperSize="9" orientation="portrait" r:id="rId1"/>
      <headerFooter>
        <oddHeader>&amp;L&amp;"Calibri"&amp;10&amp;K000000Signify Classified - Internal&amp;1#</oddHeader>
      </headerFooter>
    </customSheetView>
    <customSheetView guid="{7C37EEDC-D8AA-4F75-97FC-50D5DCC14924}">
      <selection activeCell="F40" sqref="F40"/>
      <pageMargins left="0.7" right="0.7" top="0.75" bottom="0.75" header="0.3" footer="0.3"/>
      <pageSetup paperSize="9" orientation="portrait" r:id="rId2"/>
      <headerFooter>
        <oddHeader>&amp;L&amp;"Calibri"&amp;10&amp;K000000Signify Classified - Internal&amp;1#</oddHeader>
      </headerFooter>
    </customSheetView>
  </customSheetViews>
  <pageMargins left="0.7" right="0.7" top="0.75" bottom="0.75" header="0.3" footer="0.3"/>
  <pageSetup paperSize="9" orientation="portrait" r:id="rId3"/>
  <headerFooter>
    <oddHeader>&amp;L&amp;"Calibri"&amp;10&amp;K000000Signify Classified - Internal&amp;1#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1"/>
  <sheetViews>
    <sheetView topLeftCell="A19" workbookViewId="0">
      <selection activeCell="A41" sqref="A41:XFD41"/>
    </sheetView>
  </sheetViews>
  <sheetFormatPr defaultColWidth="8.85546875" defaultRowHeight="14.25" x14ac:dyDescent="0.2"/>
  <cols>
    <col min="1" max="1" width="26.28515625" style="75" customWidth="1"/>
    <col min="2" max="2" width="8.85546875" style="24"/>
    <col min="3" max="3" width="11" style="24" bestFit="1" customWidth="1"/>
    <col min="4" max="4" width="8.85546875" style="24"/>
    <col min="5" max="5" width="12.85546875" style="24" bestFit="1" customWidth="1"/>
    <col min="6" max="16384" width="8.85546875" style="24"/>
  </cols>
  <sheetData>
    <row r="1" spans="1:5" x14ac:dyDescent="0.2">
      <c r="A1" s="73">
        <f>A3/A2</f>
        <v>5.4422827031568616E-2</v>
      </c>
      <c r="B1" s="24" t="s">
        <v>52</v>
      </c>
    </row>
    <row r="2" spans="1:5" ht="15" x14ac:dyDescent="0.25">
      <c r="A2" s="74">
        <f>A13</f>
        <v>5123952856000</v>
      </c>
      <c r="B2" s="31" t="str">
        <f>B13</f>
        <v>Total Advances</v>
      </c>
    </row>
    <row r="3" spans="1:5" ht="15" x14ac:dyDescent="0.25">
      <c r="A3" s="74">
        <v>278860000000</v>
      </c>
      <c r="B3" s="31" t="s">
        <v>20</v>
      </c>
    </row>
    <row r="4" spans="1:5" x14ac:dyDescent="0.2">
      <c r="A4" s="75">
        <v>12858100000</v>
      </c>
      <c r="B4" s="24" t="s">
        <v>50</v>
      </c>
    </row>
    <row r="5" spans="1:5" x14ac:dyDescent="0.2">
      <c r="A5" s="75">
        <v>1038675565000</v>
      </c>
      <c r="B5" s="24" t="s">
        <v>185</v>
      </c>
    </row>
    <row r="6" spans="1:5" ht="15" x14ac:dyDescent="0.25">
      <c r="A6" s="74">
        <f>A20</f>
        <v>67774229000</v>
      </c>
      <c r="B6" s="31" t="str">
        <f>B20</f>
        <v>PAT</v>
      </c>
    </row>
    <row r="7" spans="1:5" ht="15" x14ac:dyDescent="0.25">
      <c r="A7" s="74">
        <f>A4+A5+A6</f>
        <v>1119307894000</v>
      </c>
      <c r="B7" s="31" t="s">
        <v>21</v>
      </c>
    </row>
    <row r="8" spans="1:5" ht="15" x14ac:dyDescent="0.25">
      <c r="A8" s="74">
        <f>A7-A3</f>
        <v>840447894000</v>
      </c>
      <c r="B8" s="31" t="s">
        <v>44</v>
      </c>
    </row>
    <row r="9" spans="1:5" ht="15" x14ac:dyDescent="0.25">
      <c r="A9" s="74">
        <f>A8/A24</f>
        <v>9.5593523099998662E-2</v>
      </c>
      <c r="B9" s="31" t="s">
        <v>1</v>
      </c>
    </row>
    <row r="10" spans="1:5" x14ac:dyDescent="0.2">
      <c r="A10" s="75">
        <f>1391852905000+23477202000</f>
        <v>1415330107000</v>
      </c>
      <c r="B10" s="24" t="s">
        <v>183</v>
      </c>
    </row>
    <row r="11" spans="1:5" x14ac:dyDescent="0.2">
      <c r="A11" s="75">
        <v>2029941808000</v>
      </c>
      <c r="B11" s="24" t="s">
        <v>23</v>
      </c>
    </row>
    <row r="12" spans="1:5" ht="15" x14ac:dyDescent="0.25">
      <c r="A12" s="74">
        <f>A10/A11</f>
        <v>0.69722693597529961</v>
      </c>
      <c r="B12" s="31" t="s">
        <v>184</v>
      </c>
    </row>
    <row r="13" spans="1:5" x14ac:dyDescent="0.2">
      <c r="A13" s="75">
        <v>5123952856000</v>
      </c>
      <c r="B13" s="24" t="s">
        <v>25</v>
      </c>
    </row>
    <row r="14" spans="1:5" x14ac:dyDescent="0.2">
      <c r="A14" s="75">
        <v>540630000000</v>
      </c>
      <c r="B14" s="24" t="s">
        <v>26</v>
      </c>
      <c r="E14" s="24">
        <v>540630000000</v>
      </c>
    </row>
    <row r="15" spans="1:5" x14ac:dyDescent="0.2">
      <c r="A15" s="75">
        <f>A13-A14</f>
        <v>4583322856000</v>
      </c>
      <c r="B15" s="24" t="s">
        <v>27</v>
      </c>
    </row>
    <row r="16" spans="1:5" ht="15" x14ac:dyDescent="0.25">
      <c r="A16" s="74">
        <f>A15/A13</f>
        <v>0.89448966155749499</v>
      </c>
      <c r="B16" s="31" t="s">
        <v>28</v>
      </c>
    </row>
    <row r="17" spans="1:2" x14ac:dyDescent="0.2">
      <c r="A17" s="75">
        <v>5609752085000</v>
      </c>
      <c r="B17" s="24" t="s">
        <v>29</v>
      </c>
    </row>
    <row r="18" spans="1:2" ht="15" x14ac:dyDescent="0.25">
      <c r="A18" s="74">
        <f>A13/A17</f>
        <v>0.9134009450615499</v>
      </c>
      <c r="B18" s="31" t="s">
        <v>30</v>
      </c>
    </row>
    <row r="19" spans="1:2" x14ac:dyDescent="0.2">
      <c r="A19" s="75">
        <v>81548</v>
      </c>
      <c r="B19" s="24" t="s">
        <v>186</v>
      </c>
    </row>
    <row r="20" spans="1:2" x14ac:dyDescent="0.2">
      <c r="A20" s="75">
        <v>67774229000</v>
      </c>
      <c r="B20" s="24" t="s">
        <v>32</v>
      </c>
    </row>
    <row r="21" spans="1:2" x14ac:dyDescent="0.2">
      <c r="A21" s="75">
        <f>A13+A17</f>
        <v>10733704941000</v>
      </c>
      <c r="B21" s="24" t="s">
        <v>33</v>
      </c>
    </row>
    <row r="22" spans="1:2" ht="15" x14ac:dyDescent="0.25">
      <c r="A22" s="74">
        <f>A21/A19</f>
        <v>131624380.00931966</v>
      </c>
      <c r="B22" s="31" t="s">
        <v>34</v>
      </c>
    </row>
    <row r="23" spans="1:2" ht="15" x14ac:dyDescent="0.25">
      <c r="A23" s="74">
        <f>A20/A19</f>
        <v>831096.15195958212</v>
      </c>
      <c r="B23" s="31" t="s">
        <v>7</v>
      </c>
    </row>
    <row r="24" spans="1:2" x14ac:dyDescent="0.2">
      <c r="A24" s="75">
        <v>8791891613000</v>
      </c>
      <c r="B24" s="24" t="s">
        <v>35</v>
      </c>
    </row>
    <row r="25" spans="1:2" ht="15" x14ac:dyDescent="0.25">
      <c r="A25" s="76">
        <f>A20/A24</f>
        <v>7.7087198049378414E-3</v>
      </c>
      <c r="B25" s="31" t="s">
        <v>8</v>
      </c>
    </row>
    <row r="26" spans="1:2" x14ac:dyDescent="0.2">
      <c r="A26" s="75">
        <v>549658922000</v>
      </c>
      <c r="B26" s="24" t="s">
        <v>36</v>
      </c>
    </row>
    <row r="27" spans="1:2" x14ac:dyDescent="0.2">
      <c r="A27" s="75">
        <v>319400463000</v>
      </c>
      <c r="B27" s="24" t="s">
        <v>37</v>
      </c>
    </row>
    <row r="28" spans="1:2" x14ac:dyDescent="0.2">
      <c r="A28" s="75">
        <f>A26-A27</f>
        <v>230258459000</v>
      </c>
      <c r="B28" s="24" t="s">
        <v>38</v>
      </c>
    </row>
    <row r="29" spans="1:2" ht="15" x14ac:dyDescent="0.25">
      <c r="A29" s="74">
        <f>A28/A24</f>
        <v>2.6189865518761828E-2</v>
      </c>
      <c r="B29" s="31" t="s">
        <v>39</v>
      </c>
    </row>
    <row r="30" spans="1:2" x14ac:dyDescent="0.2">
      <c r="A30" s="75">
        <v>189390000000</v>
      </c>
      <c r="B30" s="24" t="s">
        <v>40</v>
      </c>
    </row>
    <row r="31" spans="1:2" ht="15" x14ac:dyDescent="0.25">
      <c r="A31" s="74">
        <f>A30/A24</f>
        <v>2.1541439355321587E-2</v>
      </c>
      <c r="B31" s="31" t="s">
        <v>41</v>
      </c>
    </row>
    <row r="32" spans="1:2" x14ac:dyDescent="0.2">
      <c r="A32" s="75">
        <v>157040000000</v>
      </c>
      <c r="B32" s="24" t="s">
        <v>42</v>
      </c>
    </row>
    <row r="33" spans="1:2" ht="15" x14ac:dyDescent="0.25">
      <c r="A33" s="75">
        <f>A32/A20</f>
        <v>2.3171049278922817</v>
      </c>
      <c r="B33" s="31" t="s">
        <v>43</v>
      </c>
    </row>
    <row r="34" spans="1:2" x14ac:dyDescent="0.2">
      <c r="A34" s="75">
        <v>331023817000</v>
      </c>
      <c r="B34" s="24" t="s">
        <v>45</v>
      </c>
    </row>
    <row r="35" spans="1:2" ht="15" x14ac:dyDescent="0.25">
      <c r="A35" s="75">
        <f>A34/A24</f>
        <v>3.7651034791026827E-2</v>
      </c>
      <c r="B35" s="31" t="s">
        <v>46</v>
      </c>
    </row>
    <row r="36" spans="1:2" ht="15" x14ac:dyDescent="0.25">
      <c r="A36" s="74">
        <f>A10/A24</f>
        <v>0.16098129609642176</v>
      </c>
      <c r="B36" s="31" t="s">
        <v>164</v>
      </c>
    </row>
    <row r="37" spans="1:2" x14ac:dyDescent="0.2">
      <c r="A37" s="75">
        <v>510669991000</v>
      </c>
      <c r="B37" s="24" t="s">
        <v>48</v>
      </c>
    </row>
    <row r="38" spans="1:2" x14ac:dyDescent="0.2">
      <c r="A38" s="75">
        <f>A34+A37</f>
        <v>841693808000</v>
      </c>
      <c r="B38" s="24" t="s">
        <v>47</v>
      </c>
    </row>
    <row r="39" spans="1:2" ht="15" x14ac:dyDescent="0.25">
      <c r="A39" s="74">
        <f>A38/A17</f>
        <v>0.15004117744358395</v>
      </c>
      <c r="B39" s="31" t="s">
        <v>49</v>
      </c>
    </row>
    <row r="41" spans="1:2" s="181" customFormat="1" ht="11.25" x14ac:dyDescent="0.2">
      <c r="A41" s="180" t="s">
        <v>243</v>
      </c>
    </row>
  </sheetData>
  <customSheetViews>
    <customSheetView guid="{9B3B61F6-A1A7-41F3-8F3A-A7753DA80303}">
      <selection activeCell="B12" sqref="B12"/>
      <pageMargins left="0.7" right="0.7" top="0.75" bottom="0.75" header="0.3" footer="0.3"/>
      <pageSetup paperSize="9" orientation="portrait" r:id="rId1"/>
      <headerFooter>
        <oddHeader>&amp;L&amp;"Calibri"&amp;10&amp;K000000Signify Classified - Internal&amp;1#</oddHeader>
      </headerFooter>
    </customSheetView>
    <customSheetView guid="{7C37EEDC-D8AA-4F75-97FC-50D5DCC14924}">
      <selection activeCell="F24" sqref="A1:XFD1048576"/>
      <pageMargins left="0.7" right="0.7" top="0.75" bottom="0.75" header="0.3" footer="0.3"/>
      <pageSetup paperSize="9" orientation="portrait" r:id="rId2"/>
      <headerFooter>
        <oddHeader>&amp;L&amp;"Calibri"&amp;10&amp;K000000Signify Classified - Internal&amp;1#</oddHeader>
      </headerFooter>
    </customSheetView>
  </customSheetViews>
  <pageMargins left="0.7" right="0.7" top="0.75" bottom="0.75" header="0.3" footer="0.3"/>
  <pageSetup paperSize="9" orientation="portrait" r:id="rId3"/>
  <headerFooter>
    <oddHeader>&amp;L&amp;"Calibri"&amp;10&amp;K000000Signify Classified - Internal&amp;1#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1"/>
  <sheetViews>
    <sheetView topLeftCell="A19" workbookViewId="0">
      <selection activeCell="A41" sqref="A41:XFD41"/>
    </sheetView>
  </sheetViews>
  <sheetFormatPr defaultColWidth="8.85546875" defaultRowHeight="14.25" x14ac:dyDescent="0.2"/>
  <cols>
    <col min="1" max="1" width="26.28515625" style="75" customWidth="1"/>
    <col min="2" max="2" width="8.85546875" style="24"/>
    <col min="3" max="3" width="11" style="24" bestFit="1" customWidth="1"/>
    <col min="4" max="4" width="8.85546875" style="24"/>
    <col min="5" max="5" width="12.85546875" style="24" bestFit="1" customWidth="1"/>
    <col min="6" max="7" width="8.85546875" style="24"/>
    <col min="8" max="8" width="9" style="24" bestFit="1" customWidth="1"/>
    <col min="9" max="16384" width="8.85546875" style="24"/>
  </cols>
  <sheetData>
    <row r="1" spans="1:5" x14ac:dyDescent="0.2">
      <c r="A1" s="73">
        <v>3.4000000000000002E-2</v>
      </c>
      <c r="B1" s="24" t="s">
        <v>52</v>
      </c>
    </row>
    <row r="2" spans="1:5" ht="15" x14ac:dyDescent="0.25">
      <c r="A2" s="74">
        <f>A13</f>
        <v>4396503045000</v>
      </c>
      <c r="B2" s="31" t="str">
        <f>B13</f>
        <v>Total Advances</v>
      </c>
    </row>
    <row r="3" spans="1:5" ht="15" x14ac:dyDescent="0.25">
      <c r="A3" s="74">
        <f>A2*A1</f>
        <v>149481103530</v>
      </c>
      <c r="B3" s="31" t="s">
        <v>20</v>
      </c>
    </row>
    <row r="4" spans="1:5" x14ac:dyDescent="0.2">
      <c r="A4" s="75">
        <v>5133078000</v>
      </c>
      <c r="B4" s="24" t="s">
        <v>50</v>
      </c>
    </row>
    <row r="5" spans="1:5" x14ac:dyDescent="0.2">
      <c r="A5" s="75">
        <v>629319518000</v>
      </c>
      <c r="B5" s="24" t="s">
        <v>51</v>
      </c>
    </row>
    <row r="6" spans="1:5" ht="15" x14ac:dyDescent="0.25">
      <c r="A6" s="74">
        <f>A20</f>
        <v>2756813000</v>
      </c>
      <c r="B6" s="31" t="str">
        <f>B20</f>
        <v>PAT</v>
      </c>
    </row>
    <row r="7" spans="1:5" ht="15" x14ac:dyDescent="0.25">
      <c r="A7" s="74">
        <f>A4+A5+A6</f>
        <v>637209409000</v>
      </c>
      <c r="B7" s="31" t="s">
        <v>21</v>
      </c>
    </row>
    <row r="8" spans="1:5" ht="15" x14ac:dyDescent="0.25">
      <c r="A8" s="74">
        <f>A7-A3</f>
        <v>487728305470</v>
      </c>
      <c r="B8" s="31" t="s">
        <v>44</v>
      </c>
    </row>
    <row r="9" spans="1:5" ht="15" x14ac:dyDescent="0.25">
      <c r="A9" s="74">
        <f>A8/A24</f>
        <v>7.0549318248547863E-2</v>
      </c>
      <c r="B9" s="31" t="s">
        <v>1</v>
      </c>
    </row>
    <row r="10" spans="1:5" x14ac:dyDescent="0.2">
      <c r="A10" s="75">
        <f>1013545679000+26984150000</f>
        <v>1040529829000</v>
      </c>
      <c r="B10" s="24" t="s">
        <v>22</v>
      </c>
    </row>
    <row r="11" spans="1:5" x14ac:dyDescent="0.2">
      <c r="A11" s="75">
        <v>1538760827000</v>
      </c>
      <c r="B11" s="24" t="s">
        <v>23</v>
      </c>
    </row>
    <row r="12" spans="1:5" ht="15" x14ac:dyDescent="0.25">
      <c r="A12" s="74">
        <f>A10/A11</f>
        <v>0.67621284006081606</v>
      </c>
      <c r="B12" s="31" t="s">
        <v>24</v>
      </c>
    </row>
    <row r="13" spans="1:5" x14ac:dyDescent="0.2">
      <c r="A13" s="75">
        <v>4396503045000</v>
      </c>
      <c r="B13" s="24" t="s">
        <v>25</v>
      </c>
    </row>
    <row r="14" spans="1:5" x14ac:dyDescent="0.2">
      <c r="A14" s="75">
        <f>0.0677*A13</f>
        <v>297643256146.5</v>
      </c>
      <c r="B14" s="24" t="s">
        <v>26</v>
      </c>
      <c r="E14" s="24">
        <v>540630000000</v>
      </c>
    </row>
    <row r="15" spans="1:5" x14ac:dyDescent="0.2">
      <c r="A15" s="75">
        <f>A13-A14</f>
        <v>4098859788853.5</v>
      </c>
      <c r="B15" s="24" t="s">
        <v>27</v>
      </c>
    </row>
    <row r="16" spans="1:5" ht="15" x14ac:dyDescent="0.25">
      <c r="A16" s="74">
        <f>A15/A13</f>
        <v>0.93230000000000002</v>
      </c>
      <c r="B16" s="31" t="s">
        <v>28</v>
      </c>
    </row>
    <row r="17" spans="1:8" x14ac:dyDescent="0.2">
      <c r="A17" s="75">
        <v>4536227223000</v>
      </c>
      <c r="B17" s="24" t="s">
        <v>29</v>
      </c>
    </row>
    <row r="18" spans="1:8" ht="15" x14ac:dyDescent="0.25">
      <c r="A18" s="74">
        <f>A13/A17</f>
        <v>0.9691981527531166</v>
      </c>
      <c r="B18" s="31" t="s">
        <v>30</v>
      </c>
    </row>
    <row r="19" spans="1:8" x14ac:dyDescent="0.2">
      <c r="A19" s="75">
        <v>59600</v>
      </c>
      <c r="B19" s="24" t="s">
        <v>31</v>
      </c>
    </row>
    <row r="20" spans="1:8" x14ac:dyDescent="0.2">
      <c r="A20" s="75">
        <v>2756813000</v>
      </c>
      <c r="B20" s="24" t="s">
        <v>32</v>
      </c>
    </row>
    <row r="21" spans="1:8" x14ac:dyDescent="0.2">
      <c r="A21" s="75">
        <f>A13+A17</f>
        <v>8932730268000</v>
      </c>
      <c r="B21" s="24" t="s">
        <v>33</v>
      </c>
      <c r="H21" s="24">
        <v>6.7699999999999996E-2</v>
      </c>
    </row>
    <row r="22" spans="1:8" ht="15" x14ac:dyDescent="0.25">
      <c r="A22" s="74">
        <f>A21/A19</f>
        <v>149878024.63087249</v>
      </c>
      <c r="B22" s="31" t="s">
        <v>34</v>
      </c>
    </row>
    <row r="23" spans="1:8" ht="15" x14ac:dyDescent="0.25">
      <c r="A23" s="74">
        <f>A20/A19</f>
        <v>46255.25167785235</v>
      </c>
      <c r="B23" s="31" t="s">
        <v>7</v>
      </c>
    </row>
    <row r="24" spans="1:8" x14ac:dyDescent="0.2">
      <c r="A24" s="75">
        <v>6913295799000</v>
      </c>
      <c r="B24" s="24" t="s">
        <v>35</v>
      </c>
    </row>
    <row r="25" spans="1:8" ht="15" x14ac:dyDescent="0.25">
      <c r="A25" s="76">
        <f>A20/A24</f>
        <v>3.987697156541124E-4</v>
      </c>
      <c r="B25" s="31" t="s">
        <v>8</v>
      </c>
    </row>
    <row r="26" spans="1:8" x14ac:dyDescent="0.2">
      <c r="A26" s="75">
        <v>457803123000</v>
      </c>
      <c r="B26" s="24" t="s">
        <v>36</v>
      </c>
    </row>
    <row r="27" spans="1:8" x14ac:dyDescent="0.2">
      <c r="A27" s="75">
        <v>271625818000</v>
      </c>
      <c r="B27" s="24" t="s">
        <v>37</v>
      </c>
    </row>
    <row r="28" spans="1:8" x14ac:dyDescent="0.2">
      <c r="A28" s="75">
        <f>A26-A27</f>
        <v>186177305000</v>
      </c>
      <c r="B28" s="24" t="s">
        <v>38</v>
      </c>
    </row>
    <row r="29" spans="1:8" ht="15" x14ac:dyDescent="0.25">
      <c r="A29" s="74">
        <f>A28/A24</f>
        <v>2.6930325334398438E-2</v>
      </c>
      <c r="B29" s="31" t="s">
        <v>39</v>
      </c>
    </row>
    <row r="30" spans="1:8" x14ac:dyDescent="0.2">
      <c r="A30" s="75">
        <v>155940000000</v>
      </c>
      <c r="B30" s="24" t="s">
        <v>40</v>
      </c>
    </row>
    <row r="31" spans="1:8" ht="15" x14ac:dyDescent="0.25">
      <c r="A31" s="74">
        <f>A30/A24</f>
        <v>2.2556535194480833E-2</v>
      </c>
      <c r="B31" s="31" t="s">
        <v>41</v>
      </c>
    </row>
    <row r="32" spans="1:8" x14ac:dyDescent="0.2">
      <c r="A32" s="75">
        <v>139903400000</v>
      </c>
      <c r="B32" s="24" t="s">
        <v>42</v>
      </c>
    </row>
    <row r="33" spans="1:2" ht="15" x14ac:dyDescent="0.25">
      <c r="A33" s="75">
        <f>A32/A20</f>
        <v>50.748237185474679</v>
      </c>
      <c r="B33" s="31" t="s">
        <v>43</v>
      </c>
    </row>
    <row r="34" spans="1:2" x14ac:dyDescent="0.2">
      <c r="A34" s="75">
        <v>354810577000</v>
      </c>
      <c r="B34" s="24" t="s">
        <v>45</v>
      </c>
    </row>
    <row r="35" spans="1:2" ht="15" x14ac:dyDescent="0.25">
      <c r="A35" s="75">
        <f>A34/A24</f>
        <v>5.1322927199400743E-2</v>
      </c>
      <c r="B35" s="31" t="s">
        <v>46</v>
      </c>
    </row>
    <row r="36" spans="1:2" ht="15" x14ac:dyDescent="0.25">
      <c r="A36" s="74">
        <f>A10/A24</f>
        <v>0.1505113999534797</v>
      </c>
      <c r="B36" s="31" t="s">
        <v>13</v>
      </c>
    </row>
    <row r="37" spans="1:2" x14ac:dyDescent="0.2">
      <c r="A37" s="75">
        <v>79738329000</v>
      </c>
      <c r="B37" s="24" t="s">
        <v>48</v>
      </c>
    </row>
    <row r="38" spans="1:2" x14ac:dyDescent="0.2">
      <c r="A38" s="75">
        <f>A34+A37</f>
        <v>434548906000</v>
      </c>
      <c r="B38" s="24" t="s">
        <v>47</v>
      </c>
    </row>
    <row r="39" spans="1:2" ht="15" x14ac:dyDescent="0.25">
      <c r="A39" s="74">
        <f>A38/A17</f>
        <v>9.5795224674088159E-2</v>
      </c>
      <c r="B39" s="31" t="s">
        <v>49</v>
      </c>
    </row>
    <row r="41" spans="1:2" s="181" customFormat="1" ht="11.25" x14ac:dyDescent="0.2">
      <c r="A41" s="180" t="s">
        <v>244</v>
      </c>
    </row>
  </sheetData>
  <customSheetViews>
    <customSheetView guid="{9B3B61F6-A1A7-41F3-8F3A-A7753DA80303}" topLeftCell="A32">
      <selection activeCell="G25" sqref="G25"/>
      <pageMargins left="0.7" right="0.7" top="0.75" bottom="0.75" header="0.3" footer="0.3"/>
      <pageSetup paperSize="9" orientation="portrait" r:id="rId1"/>
    </customSheetView>
    <customSheetView guid="{7C37EEDC-D8AA-4F75-97FC-50D5DCC14924}" topLeftCell="A32">
      <selection activeCell="F56" sqref="A1:XFD1048576"/>
      <pageMargins left="0.7" right="0.7" top="0.75" bottom="0.75" header="0.3" footer="0.3"/>
      <pageSetup paperSize="9" orientation="portrait" r:id="rId2"/>
    </customSheetView>
  </customSheetView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1"/>
  <sheetViews>
    <sheetView topLeftCell="A19" workbookViewId="0">
      <selection activeCell="A41" sqref="A41:XFD41"/>
    </sheetView>
  </sheetViews>
  <sheetFormatPr defaultColWidth="8.85546875" defaultRowHeight="14.25" x14ac:dyDescent="0.2"/>
  <cols>
    <col min="1" max="1" width="26.28515625" style="75" customWidth="1"/>
    <col min="2" max="2" width="8.85546875" style="24"/>
    <col min="3" max="3" width="11" style="24" bestFit="1" customWidth="1"/>
    <col min="4" max="4" width="8.85546875" style="24"/>
    <col min="5" max="5" width="11" style="24" bestFit="1" customWidth="1"/>
    <col min="6" max="16384" width="8.85546875" style="24"/>
  </cols>
  <sheetData>
    <row r="1" spans="1:2" x14ac:dyDescent="0.2">
      <c r="A1" s="73">
        <v>5.7299999999999997E-2</v>
      </c>
      <c r="B1" s="24" t="s">
        <v>52</v>
      </c>
    </row>
    <row r="2" spans="1:2" ht="15" x14ac:dyDescent="0.25">
      <c r="A2" s="74">
        <f>A13</f>
        <v>19348801891000</v>
      </c>
      <c r="B2" s="31" t="str">
        <f>B13</f>
        <v>Total Advances</v>
      </c>
    </row>
    <row r="3" spans="1:2" ht="15" x14ac:dyDescent="0.25">
      <c r="A3" s="74">
        <f>A2*A1</f>
        <v>1108686348354.3</v>
      </c>
      <c r="B3" s="31" t="s">
        <v>20</v>
      </c>
    </row>
    <row r="4" spans="1:2" x14ac:dyDescent="0.2">
      <c r="A4" s="75">
        <v>8924588000</v>
      </c>
      <c r="B4" s="24" t="s">
        <v>50</v>
      </c>
    </row>
    <row r="5" spans="1:2" x14ac:dyDescent="0.2">
      <c r="A5" s="75">
        <v>2182361015000</v>
      </c>
      <c r="B5" s="24" t="s">
        <v>185</v>
      </c>
    </row>
    <row r="6" spans="1:2" ht="15" x14ac:dyDescent="0.25">
      <c r="A6" s="74">
        <f>A20</f>
        <v>-65474537000</v>
      </c>
      <c r="B6" s="31" t="str">
        <f>B20</f>
        <v>PAT</v>
      </c>
    </row>
    <row r="7" spans="1:2" ht="15" x14ac:dyDescent="0.25">
      <c r="A7" s="74">
        <f>A4+A5+A6</f>
        <v>2125811066000</v>
      </c>
      <c r="B7" s="31" t="s">
        <v>21</v>
      </c>
    </row>
    <row r="8" spans="1:2" ht="15" x14ac:dyDescent="0.25">
      <c r="A8" s="74">
        <f>A7-A3</f>
        <v>1017124717645.7</v>
      </c>
      <c r="B8" s="31" t="s">
        <v>44</v>
      </c>
    </row>
    <row r="9" spans="1:2" ht="15" x14ac:dyDescent="0.25">
      <c r="A9" s="74">
        <f>A8/A24</f>
        <v>2.9441323679578302E-2</v>
      </c>
      <c r="B9" s="31" t="s">
        <v>1</v>
      </c>
    </row>
    <row r="10" spans="1:2" x14ac:dyDescent="0.2">
      <c r="A10" s="75">
        <f>8483958444000+105204585000</f>
        <v>8589163029000</v>
      </c>
      <c r="B10" s="24" t="s">
        <v>183</v>
      </c>
    </row>
    <row r="11" spans="1:2" x14ac:dyDescent="0.2">
      <c r="A11" s="75">
        <v>10609867150000</v>
      </c>
      <c r="B11" s="24" t="s">
        <v>23</v>
      </c>
    </row>
    <row r="12" spans="1:2" ht="15" x14ac:dyDescent="0.25">
      <c r="A12" s="74">
        <f>A10/A11</f>
        <v>0.80954482347123446</v>
      </c>
      <c r="B12" s="31" t="s">
        <v>184</v>
      </c>
    </row>
    <row r="13" spans="1:2" x14ac:dyDescent="0.2">
      <c r="A13" s="75">
        <v>19348801891000</v>
      </c>
      <c r="B13" s="24" t="s">
        <v>25</v>
      </c>
    </row>
    <row r="14" spans="1:2" x14ac:dyDescent="0.2">
      <c r="A14" s="75">
        <f>0.1091*A13</f>
        <v>2110954286308.1001</v>
      </c>
      <c r="B14" s="24" t="s">
        <v>26</v>
      </c>
    </row>
    <row r="15" spans="1:2" x14ac:dyDescent="0.2">
      <c r="A15" s="75">
        <f>A13-A14</f>
        <v>17237847604691.9</v>
      </c>
      <c r="B15" s="24" t="s">
        <v>27</v>
      </c>
    </row>
    <row r="16" spans="1:2" ht="15" x14ac:dyDescent="0.25">
      <c r="A16" s="74">
        <f>A15/A13</f>
        <v>0.89090000000000003</v>
      </c>
      <c r="B16" s="31" t="s">
        <v>28</v>
      </c>
    </row>
    <row r="17" spans="1:2" x14ac:dyDescent="0.2">
      <c r="A17" s="75">
        <v>27063432850000</v>
      </c>
      <c r="B17" s="24" t="s">
        <v>29</v>
      </c>
    </row>
    <row r="18" spans="1:2" ht="15" x14ac:dyDescent="0.25">
      <c r="A18" s="74">
        <f>A13/A17</f>
        <v>0.71494263119691415</v>
      </c>
      <c r="B18" s="31" t="s">
        <v>30</v>
      </c>
    </row>
    <row r="19" spans="1:2" x14ac:dyDescent="0.2">
      <c r="A19" s="75">
        <v>271000</v>
      </c>
      <c r="B19" s="24" t="s">
        <v>31</v>
      </c>
    </row>
    <row r="20" spans="1:2" x14ac:dyDescent="0.2">
      <c r="A20" s="75">
        <v>-65474537000</v>
      </c>
      <c r="B20" s="24" t="s">
        <v>32</v>
      </c>
    </row>
    <row r="21" spans="1:2" x14ac:dyDescent="0.2">
      <c r="A21" s="75">
        <f>A13+A17</f>
        <v>46412234741000</v>
      </c>
      <c r="B21" s="24" t="s">
        <v>187</v>
      </c>
    </row>
    <row r="22" spans="1:2" ht="15" x14ac:dyDescent="0.25">
      <c r="A22" s="74">
        <f>A21/A19</f>
        <v>171262858.82287824</v>
      </c>
      <c r="B22" s="31" t="s">
        <v>34</v>
      </c>
    </row>
    <row r="23" spans="1:2" ht="15" x14ac:dyDescent="0.25">
      <c r="A23" s="74">
        <f>A20/A19</f>
        <v>-241603.45756457566</v>
      </c>
      <c r="B23" s="31" t="s">
        <v>7</v>
      </c>
    </row>
    <row r="24" spans="1:2" x14ac:dyDescent="0.2">
      <c r="A24" s="75">
        <v>34547519966000</v>
      </c>
      <c r="B24" s="24" t="s">
        <v>35</v>
      </c>
    </row>
    <row r="25" spans="1:2" ht="15" x14ac:dyDescent="0.25">
      <c r="A25" s="76">
        <f>A20/A24</f>
        <v>-1.8952022334580564E-3</v>
      </c>
      <c r="B25" s="31" t="s">
        <v>8</v>
      </c>
    </row>
    <row r="26" spans="1:2" x14ac:dyDescent="0.2">
      <c r="A26" s="75">
        <v>2204993156000</v>
      </c>
      <c r="B26" s="24" t="s">
        <v>36</v>
      </c>
    </row>
    <row r="27" spans="1:2" x14ac:dyDescent="0.2">
      <c r="A27" s="75">
        <v>1456456000000</v>
      </c>
      <c r="B27" s="24" t="s">
        <v>37</v>
      </c>
    </row>
    <row r="28" spans="1:2" x14ac:dyDescent="0.2">
      <c r="A28" s="75">
        <f>A26-A27</f>
        <v>748537156000</v>
      </c>
      <c r="B28" s="24" t="s">
        <v>38</v>
      </c>
    </row>
    <row r="29" spans="1:2" ht="15" x14ac:dyDescent="0.25">
      <c r="A29" s="74">
        <f>A28/A24</f>
        <v>2.166688540122921E-2</v>
      </c>
      <c r="B29" s="31" t="s">
        <v>39</v>
      </c>
    </row>
    <row r="30" spans="1:2" x14ac:dyDescent="0.2">
      <c r="A30" s="75">
        <v>595109500000</v>
      </c>
      <c r="B30" s="24" t="s">
        <v>40</v>
      </c>
    </row>
    <row r="31" spans="1:2" ht="15" x14ac:dyDescent="0.25">
      <c r="A31" s="74">
        <f>A30/A24</f>
        <v>1.7225824041369048E-2</v>
      </c>
      <c r="B31" s="31" t="s">
        <v>41</v>
      </c>
    </row>
    <row r="32" spans="1:2" x14ac:dyDescent="0.2">
      <c r="A32" s="75">
        <v>599434464000</v>
      </c>
      <c r="B32" s="24" t="s">
        <v>42</v>
      </c>
    </row>
    <row r="33" spans="1:2" ht="15" x14ac:dyDescent="0.25">
      <c r="A33" s="75">
        <f>(A32/A20)</f>
        <v>-9.1552302844081197</v>
      </c>
      <c r="B33" s="31" t="s">
        <v>43</v>
      </c>
    </row>
    <row r="34" spans="1:2" x14ac:dyDescent="0.2">
      <c r="A34" s="75">
        <v>1503971814000</v>
      </c>
      <c r="B34" s="24" t="s">
        <v>45</v>
      </c>
    </row>
    <row r="35" spans="1:2" ht="15" x14ac:dyDescent="0.25">
      <c r="A35" s="75">
        <f>A34/A24</f>
        <v>4.3533423397110312E-2</v>
      </c>
      <c r="B35" s="31" t="s">
        <v>46</v>
      </c>
    </row>
    <row r="36" spans="1:2" ht="15" x14ac:dyDescent="0.25">
      <c r="A36" s="74">
        <f>A10/A24</f>
        <v>0.24861880208631587</v>
      </c>
      <c r="B36" s="31" t="s">
        <v>164</v>
      </c>
    </row>
    <row r="37" spans="1:2" x14ac:dyDescent="0.2">
      <c r="A37" s="75">
        <v>415014605000</v>
      </c>
      <c r="B37" s="24" t="s">
        <v>48</v>
      </c>
    </row>
    <row r="38" spans="1:2" x14ac:dyDescent="0.2">
      <c r="A38" s="75">
        <f>A34+A37</f>
        <v>1918986419000</v>
      </c>
      <c r="B38" s="24" t="s">
        <v>47</v>
      </c>
    </row>
    <row r="39" spans="1:2" ht="15" x14ac:dyDescent="0.25">
      <c r="A39" s="74">
        <f>A38/A17</f>
        <v>7.0906984699097397E-2</v>
      </c>
      <c r="B39" s="31" t="s">
        <v>49</v>
      </c>
    </row>
    <row r="41" spans="1:2" s="181" customFormat="1" ht="11.25" x14ac:dyDescent="0.2">
      <c r="A41" s="180" t="s">
        <v>245</v>
      </c>
    </row>
  </sheetData>
  <customSheetViews>
    <customSheetView guid="{9B3B61F6-A1A7-41F3-8F3A-A7753DA80303}" topLeftCell="A10">
      <selection activeCell="F17" sqref="F17"/>
      <pageMargins left="0.7" right="0.7" top="0.75" bottom="0.75" header="0.3" footer="0.3"/>
      <pageSetup paperSize="9" orientation="portrait" r:id="rId1"/>
    </customSheetView>
    <customSheetView guid="{7C37EEDC-D8AA-4F75-97FC-50D5DCC14924}" topLeftCell="A10">
      <selection activeCell="I31" sqref="A1:XFD1048576"/>
      <pageMargins left="0.7" right="0.7" top="0.75" bottom="0.75" header="0.3" footer="0.3"/>
      <pageSetup paperSize="9" orientation="portrait" r:id="rId2"/>
    </customSheetView>
  </customSheetView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4"/>
  <sheetViews>
    <sheetView workbookViewId="0">
      <selection activeCell="A23" sqref="A23:XFD24"/>
    </sheetView>
  </sheetViews>
  <sheetFormatPr defaultRowHeight="14.25" x14ac:dyDescent="0.2"/>
  <cols>
    <col min="1" max="1" width="20" style="24" customWidth="1"/>
    <col min="2" max="2" width="8.140625" style="24" customWidth="1"/>
    <col min="3" max="3" width="8.5703125" style="24" customWidth="1"/>
    <col min="4" max="4" width="10.7109375" style="24" customWidth="1"/>
    <col min="5" max="5" width="11.7109375" style="24" customWidth="1"/>
    <col min="6" max="6" width="13.140625" style="24" customWidth="1"/>
    <col min="7" max="7" width="10.5703125" style="24" customWidth="1"/>
    <col min="8" max="8" width="15.140625" style="24" customWidth="1"/>
    <col min="9" max="9" width="23.42578125" style="24" bestFit="1" customWidth="1"/>
    <col min="10" max="10" width="17.85546875" style="24" customWidth="1"/>
    <col min="11" max="11" width="9.140625" style="24"/>
    <col min="12" max="12" width="12.85546875" style="24" customWidth="1"/>
    <col min="13" max="13" width="10.85546875" style="24" customWidth="1"/>
    <col min="14" max="14" width="11.42578125" style="24" customWidth="1"/>
    <col min="15" max="15" width="11.140625" style="24" customWidth="1"/>
    <col min="16" max="16" width="10.42578125" style="24" customWidth="1"/>
    <col min="17" max="17" width="11.5703125" style="24" customWidth="1"/>
    <col min="18" max="18" width="21" style="24" customWidth="1"/>
    <col min="19" max="16384" width="9.140625" style="24"/>
  </cols>
  <sheetData>
    <row r="1" spans="1:18" x14ac:dyDescent="0.2">
      <c r="A1" s="68" t="s">
        <v>53</v>
      </c>
      <c r="B1" s="202" t="s">
        <v>54</v>
      </c>
      <c r="C1" s="202"/>
      <c r="D1" s="202"/>
      <c r="E1" s="202" t="s">
        <v>57</v>
      </c>
      <c r="F1" s="202"/>
      <c r="G1" s="202"/>
      <c r="H1" s="202" t="s">
        <v>58</v>
      </c>
      <c r="I1" s="202"/>
      <c r="J1" s="202"/>
      <c r="K1" s="202" t="s">
        <v>59</v>
      </c>
      <c r="L1" s="202"/>
      <c r="M1" s="202"/>
      <c r="N1" s="202"/>
      <c r="O1" s="202" t="s">
        <v>60</v>
      </c>
      <c r="P1" s="202"/>
      <c r="Q1" s="202"/>
      <c r="R1" s="68" t="s">
        <v>63</v>
      </c>
    </row>
    <row r="2" spans="1:18" s="70" customFormat="1" ht="51.6" customHeight="1" x14ac:dyDescent="0.25">
      <c r="A2" s="69"/>
      <c r="B2" s="69" t="s">
        <v>160</v>
      </c>
      <c r="C2" s="69" t="s">
        <v>161</v>
      </c>
      <c r="D2" s="69" t="s">
        <v>160</v>
      </c>
      <c r="E2" s="69" t="s">
        <v>161</v>
      </c>
      <c r="F2" s="69" t="s">
        <v>160</v>
      </c>
      <c r="G2" s="69" t="s">
        <v>160</v>
      </c>
      <c r="H2" s="69" t="s">
        <v>160</v>
      </c>
      <c r="I2" s="69" t="s">
        <v>160</v>
      </c>
      <c r="J2" s="69" t="s">
        <v>160</v>
      </c>
      <c r="K2" s="69" t="s">
        <v>160</v>
      </c>
      <c r="L2" s="69" t="s">
        <v>160</v>
      </c>
      <c r="M2" s="69" t="s">
        <v>160</v>
      </c>
      <c r="N2" s="69" t="s">
        <v>161</v>
      </c>
      <c r="O2" s="69" t="s">
        <v>160</v>
      </c>
      <c r="P2" s="69" t="s">
        <v>160</v>
      </c>
      <c r="Q2" s="69" t="s">
        <v>160</v>
      </c>
      <c r="R2" s="69" t="s">
        <v>162</v>
      </c>
    </row>
    <row r="3" spans="1:18" s="70" customFormat="1" ht="51.95" customHeight="1" x14ac:dyDescent="0.25">
      <c r="A3" s="69"/>
      <c r="B3" s="69" t="s">
        <v>0</v>
      </c>
      <c r="C3" s="69" t="s">
        <v>2</v>
      </c>
      <c r="D3" s="69" t="s">
        <v>1</v>
      </c>
      <c r="E3" s="69" t="s">
        <v>3</v>
      </c>
      <c r="F3" s="69" t="s">
        <v>163</v>
      </c>
      <c r="G3" s="69" t="s">
        <v>4</v>
      </c>
      <c r="H3" s="69" t="s">
        <v>7</v>
      </c>
      <c r="I3" s="69" t="s">
        <v>5</v>
      </c>
      <c r="J3" s="69" t="s">
        <v>6</v>
      </c>
      <c r="K3" s="69" t="s">
        <v>8</v>
      </c>
      <c r="L3" s="69" t="s">
        <v>9</v>
      </c>
      <c r="M3" s="69" t="s">
        <v>10</v>
      </c>
      <c r="N3" s="69" t="s">
        <v>222</v>
      </c>
      <c r="O3" s="69" t="s">
        <v>12</v>
      </c>
      <c r="P3" s="69" t="s">
        <v>214</v>
      </c>
      <c r="Q3" s="69" t="s">
        <v>14</v>
      </c>
      <c r="R3" s="69" t="s">
        <v>69</v>
      </c>
    </row>
    <row r="4" spans="1:18" x14ac:dyDescent="0.2">
      <c r="A4" s="68" t="s">
        <v>15</v>
      </c>
      <c r="B4" s="71">
        <v>0.14799999999999999</v>
      </c>
      <c r="C4" s="68">
        <v>1.5024</v>
      </c>
      <c r="D4" s="71">
        <v>0.1139</v>
      </c>
      <c r="E4" s="71">
        <v>4.0000000000000001E-3</v>
      </c>
      <c r="F4" s="71">
        <v>0.77769999999999995</v>
      </c>
      <c r="G4" s="68">
        <v>0.98699999999999999</v>
      </c>
      <c r="H4" s="72">
        <v>1987128.22</v>
      </c>
      <c r="I4" s="68">
        <v>0.83</v>
      </c>
      <c r="J4" s="72">
        <v>164443605.72999999</v>
      </c>
      <c r="K4" s="71">
        <v>1.6400000000000001E-2</v>
      </c>
      <c r="L4" s="68">
        <v>3.7690000000000001E-2</v>
      </c>
      <c r="M4" s="68">
        <v>3.0700000000000002E-2</v>
      </c>
      <c r="N4" s="68">
        <v>1.3</v>
      </c>
      <c r="O4" s="68">
        <v>0.1</v>
      </c>
      <c r="P4" s="68">
        <v>0.18</v>
      </c>
      <c r="Q4" s="68">
        <v>0.16</v>
      </c>
      <c r="R4" s="68">
        <v>0.99</v>
      </c>
    </row>
    <row r="5" spans="1:18" x14ac:dyDescent="0.2">
      <c r="A5" s="68" t="s">
        <v>16</v>
      </c>
      <c r="B5" s="71">
        <v>0.184</v>
      </c>
      <c r="C5" s="68">
        <v>2.9437000000000002</v>
      </c>
      <c r="D5" s="71">
        <v>9.1800000000000007E-2</v>
      </c>
      <c r="E5" s="71">
        <v>6.4000000000000003E-3</v>
      </c>
      <c r="F5" s="71">
        <v>0.7198</v>
      </c>
      <c r="G5" s="68">
        <v>0.98719999999999997</v>
      </c>
      <c r="H5" s="72">
        <v>2316352.5099999998</v>
      </c>
      <c r="I5" s="68">
        <v>1.01</v>
      </c>
      <c r="J5" s="72">
        <v>221664661.91</v>
      </c>
      <c r="K5" s="71">
        <v>1.35E-2</v>
      </c>
      <c r="L5" s="68">
        <v>2.4760000000000001E-2</v>
      </c>
      <c r="M5" s="68">
        <v>0.02</v>
      </c>
      <c r="N5" s="68">
        <v>1.23</v>
      </c>
      <c r="O5" s="68">
        <v>0.04</v>
      </c>
      <c r="P5" s="68">
        <v>0.16</v>
      </c>
      <c r="Q5" s="68">
        <v>0.12</v>
      </c>
      <c r="R5" s="68">
        <v>1.88</v>
      </c>
    </row>
    <row r="6" spans="1:18" x14ac:dyDescent="0.2">
      <c r="A6" s="68" t="s">
        <v>17</v>
      </c>
      <c r="B6" s="71">
        <v>0.1842</v>
      </c>
      <c r="C6" s="68">
        <v>2.1396999999999999</v>
      </c>
      <c r="D6" s="71">
        <v>9.5600000000000004E-2</v>
      </c>
      <c r="E6" s="71">
        <v>5.4420000000000003E-2</v>
      </c>
      <c r="F6" s="71">
        <v>0.69720000000000004</v>
      </c>
      <c r="G6" s="68">
        <v>0.89449999999999996</v>
      </c>
      <c r="H6" s="72">
        <v>831096.15</v>
      </c>
      <c r="I6" s="68">
        <v>0.91</v>
      </c>
      <c r="J6" s="72">
        <v>131624380.01000001</v>
      </c>
      <c r="K6" s="71">
        <v>7.7000000000000002E-3</v>
      </c>
      <c r="L6" s="68">
        <v>2.6190000000000001E-2</v>
      </c>
      <c r="M6" s="68">
        <v>0.02</v>
      </c>
      <c r="N6" s="68">
        <v>2.3199999999999998</v>
      </c>
      <c r="O6" s="68">
        <v>0.04</v>
      </c>
      <c r="P6" s="68">
        <v>0.16</v>
      </c>
      <c r="Q6" s="68">
        <v>0.15</v>
      </c>
      <c r="R6" s="68">
        <v>1.47</v>
      </c>
    </row>
    <row r="7" spans="1:18" x14ac:dyDescent="0.2">
      <c r="A7" s="68" t="s">
        <v>18</v>
      </c>
      <c r="B7" s="71">
        <v>0.16569999999999999</v>
      </c>
      <c r="C7" s="68">
        <v>2.5026000000000002</v>
      </c>
      <c r="D7" s="71">
        <v>7.0499999999999993E-2</v>
      </c>
      <c r="E7" s="71">
        <v>3.4000000000000002E-2</v>
      </c>
      <c r="F7" s="71">
        <v>0.67620000000000002</v>
      </c>
      <c r="G7" s="68">
        <v>0.93230000000000002</v>
      </c>
      <c r="H7" s="72">
        <v>46255.25</v>
      </c>
      <c r="I7" s="68">
        <v>0.97</v>
      </c>
      <c r="J7" s="72">
        <v>149878024.63</v>
      </c>
      <c r="K7" s="71">
        <v>4.0000000000000002E-4</v>
      </c>
      <c r="L7" s="68">
        <v>2.6929999999999999E-2</v>
      </c>
      <c r="M7" s="68">
        <v>0.02</v>
      </c>
      <c r="N7" s="68">
        <v>50.75</v>
      </c>
      <c r="O7" s="68">
        <v>0.05</v>
      </c>
      <c r="P7" s="68">
        <v>0.15</v>
      </c>
      <c r="Q7" s="68">
        <v>0.1</v>
      </c>
      <c r="R7" s="68">
        <v>1.45</v>
      </c>
    </row>
    <row r="8" spans="1:18" x14ac:dyDescent="0.2">
      <c r="A8" s="68" t="s">
        <v>19</v>
      </c>
      <c r="B8" s="71">
        <v>0.126</v>
      </c>
      <c r="C8" s="68">
        <v>1.7181999999999999</v>
      </c>
      <c r="D8" s="71">
        <v>2.9399999999999999E-2</v>
      </c>
      <c r="E8" s="71">
        <v>5.7299999999999997E-2</v>
      </c>
      <c r="F8" s="71">
        <v>0.8095</v>
      </c>
      <c r="G8" s="68">
        <v>0.89090000000000003</v>
      </c>
      <c r="H8" s="179">
        <v>-241603.46</v>
      </c>
      <c r="I8" s="68">
        <v>0.71</v>
      </c>
      <c r="J8" s="72">
        <v>171262858.81999999</v>
      </c>
      <c r="K8" s="71">
        <v>-1.9E-3</v>
      </c>
      <c r="L8" s="68">
        <v>2.1669999999999998E-2</v>
      </c>
      <c r="M8" s="68">
        <v>0.02</v>
      </c>
      <c r="N8" s="68">
        <v>-9.16</v>
      </c>
      <c r="O8" s="68">
        <v>0.04</v>
      </c>
      <c r="P8" s="68">
        <v>0.25</v>
      </c>
      <c r="Q8" s="68">
        <v>7.0000000000000007E-2</v>
      </c>
      <c r="R8" s="68">
        <v>1.68</v>
      </c>
    </row>
    <row r="9" spans="1:18" x14ac:dyDescent="0.2">
      <c r="A9" s="68" t="s">
        <v>61</v>
      </c>
      <c r="B9" s="71">
        <v>0.7</v>
      </c>
      <c r="C9" s="71">
        <v>0.15</v>
      </c>
      <c r="D9" s="71">
        <v>0.15</v>
      </c>
      <c r="E9" s="71">
        <v>0.1</v>
      </c>
      <c r="F9" s="71">
        <v>0.3</v>
      </c>
      <c r="G9" s="71">
        <v>0.6</v>
      </c>
      <c r="H9" s="71">
        <v>0.5</v>
      </c>
      <c r="I9" s="71">
        <v>0.25</v>
      </c>
      <c r="J9" s="71">
        <v>0.25</v>
      </c>
      <c r="K9" s="71">
        <v>2.5000000000000001E-3</v>
      </c>
      <c r="L9" s="71">
        <v>0.25</v>
      </c>
      <c r="M9" s="71">
        <v>0.25</v>
      </c>
      <c r="N9" s="71">
        <v>2.5000000000000001E-3</v>
      </c>
      <c r="O9" s="71">
        <v>0.25</v>
      </c>
      <c r="P9" s="71">
        <v>0.25</v>
      </c>
      <c r="Q9" s="71">
        <v>0.5</v>
      </c>
      <c r="R9" s="71">
        <v>1</v>
      </c>
    </row>
    <row r="10" spans="1:18" x14ac:dyDescent="0.2">
      <c r="A10" s="68" t="s">
        <v>62</v>
      </c>
      <c r="B10" s="71">
        <v>0.2</v>
      </c>
      <c r="C10" s="68"/>
      <c r="D10" s="68"/>
      <c r="E10" s="71">
        <v>0.2</v>
      </c>
      <c r="F10" s="68"/>
      <c r="G10" s="68"/>
      <c r="H10" s="71">
        <v>0.2</v>
      </c>
      <c r="I10" s="68"/>
      <c r="J10" s="68"/>
      <c r="K10" s="71">
        <v>0.2</v>
      </c>
      <c r="L10" s="68"/>
      <c r="M10" s="68"/>
      <c r="N10" s="68"/>
      <c r="O10" s="71">
        <v>0.1</v>
      </c>
      <c r="P10" s="68"/>
      <c r="Q10" s="68"/>
      <c r="R10" s="71">
        <v>0.1</v>
      </c>
    </row>
    <row r="12" spans="1:18" x14ac:dyDescent="0.2">
      <c r="A12" s="68" t="s">
        <v>53</v>
      </c>
      <c r="B12" s="202" t="s">
        <v>59</v>
      </c>
      <c r="C12" s="202"/>
      <c r="D12" s="202"/>
      <c r="E12" s="202"/>
      <c r="F12" s="202" t="s">
        <v>60</v>
      </c>
      <c r="G12" s="202"/>
      <c r="H12" s="202"/>
      <c r="I12" s="68" t="s">
        <v>63</v>
      </c>
    </row>
    <row r="13" spans="1:18" ht="42.75" x14ac:dyDescent="0.2">
      <c r="A13" s="69"/>
      <c r="B13" s="69" t="s">
        <v>160</v>
      </c>
      <c r="C13" s="69" t="s">
        <v>160</v>
      </c>
      <c r="D13" s="69" t="s">
        <v>160</v>
      </c>
      <c r="E13" s="69" t="s">
        <v>161</v>
      </c>
      <c r="F13" s="69" t="s">
        <v>160</v>
      </c>
      <c r="G13" s="69" t="s">
        <v>160</v>
      </c>
      <c r="H13" s="69" t="s">
        <v>160</v>
      </c>
      <c r="I13" s="69" t="s">
        <v>162</v>
      </c>
    </row>
    <row r="14" spans="1:18" ht="57" x14ac:dyDescent="0.2">
      <c r="A14" s="69"/>
      <c r="B14" s="69" t="s">
        <v>233</v>
      </c>
      <c r="C14" s="69" t="s">
        <v>9</v>
      </c>
      <c r="D14" s="69" t="s">
        <v>10</v>
      </c>
      <c r="E14" s="69" t="s">
        <v>11</v>
      </c>
      <c r="F14" s="69" t="s">
        <v>12</v>
      </c>
      <c r="G14" s="69" t="s">
        <v>214</v>
      </c>
      <c r="H14" s="69" t="s">
        <v>14</v>
      </c>
      <c r="I14" s="69" t="s">
        <v>69</v>
      </c>
    </row>
    <row r="15" spans="1:18" x14ac:dyDescent="0.2">
      <c r="A15" s="68" t="s">
        <v>15</v>
      </c>
      <c r="B15" s="71">
        <v>1.6400000000000001E-2</v>
      </c>
      <c r="C15" s="68">
        <v>3.7690000000000001E-2</v>
      </c>
      <c r="D15" s="68">
        <v>3.0700000000000002E-2</v>
      </c>
      <c r="E15" s="68">
        <v>1.3</v>
      </c>
      <c r="F15" s="68">
        <v>0.1</v>
      </c>
      <c r="G15" s="68">
        <v>0.18</v>
      </c>
      <c r="H15" s="68">
        <v>0.16</v>
      </c>
      <c r="I15" s="68">
        <v>0.99</v>
      </c>
    </row>
    <row r="16" spans="1:18" x14ac:dyDescent="0.2">
      <c r="A16" s="68" t="s">
        <v>16</v>
      </c>
      <c r="B16" s="71">
        <v>1.35E-2</v>
      </c>
      <c r="C16" s="68">
        <v>2.4760000000000001E-2</v>
      </c>
      <c r="D16" s="68">
        <v>0.02</v>
      </c>
      <c r="E16" s="68">
        <v>1.23</v>
      </c>
      <c r="F16" s="68">
        <v>0.04</v>
      </c>
      <c r="G16" s="68">
        <v>0.16</v>
      </c>
      <c r="H16" s="68">
        <v>0.12</v>
      </c>
      <c r="I16" s="68">
        <v>1.88</v>
      </c>
    </row>
    <row r="17" spans="1:9" x14ac:dyDescent="0.2">
      <c r="A17" s="68" t="s">
        <v>17</v>
      </c>
      <c r="B17" s="71">
        <v>7.7000000000000002E-3</v>
      </c>
      <c r="C17" s="68">
        <v>2.6190000000000001E-2</v>
      </c>
      <c r="D17" s="68">
        <v>0.02</v>
      </c>
      <c r="E17" s="68">
        <v>2.3199999999999998</v>
      </c>
      <c r="F17" s="68">
        <v>0.04</v>
      </c>
      <c r="G17" s="68">
        <v>0.16</v>
      </c>
      <c r="H17" s="68">
        <v>0.15</v>
      </c>
      <c r="I17" s="68">
        <v>1.47</v>
      </c>
    </row>
    <row r="18" spans="1:9" x14ac:dyDescent="0.2">
      <c r="A18" s="68" t="s">
        <v>18</v>
      </c>
      <c r="B18" s="71">
        <v>4.0000000000000002E-4</v>
      </c>
      <c r="C18" s="68">
        <v>2.6929999999999999E-2</v>
      </c>
      <c r="D18" s="68">
        <v>0.02</v>
      </c>
      <c r="E18" s="68">
        <v>50.75</v>
      </c>
      <c r="F18" s="68">
        <v>0.05</v>
      </c>
      <c r="G18" s="68">
        <v>0.15</v>
      </c>
      <c r="H18" s="68">
        <v>0.1</v>
      </c>
      <c r="I18" s="68">
        <v>1.45</v>
      </c>
    </row>
    <row r="19" spans="1:9" x14ac:dyDescent="0.2">
      <c r="A19" s="68" t="s">
        <v>19</v>
      </c>
      <c r="B19" s="71">
        <v>-1.9E-3</v>
      </c>
      <c r="C19" s="68">
        <v>2.1669999999999998E-2</v>
      </c>
      <c r="D19" s="68">
        <v>0.02</v>
      </c>
      <c r="E19" s="68">
        <v>-9.16</v>
      </c>
      <c r="F19" s="68">
        <v>0.04</v>
      </c>
      <c r="G19" s="68">
        <v>0.25</v>
      </c>
      <c r="H19" s="68">
        <v>7.0000000000000007E-2</v>
      </c>
      <c r="I19" s="68">
        <v>1.68</v>
      </c>
    </row>
    <row r="20" spans="1:9" x14ac:dyDescent="0.2">
      <c r="A20" s="68" t="s">
        <v>61</v>
      </c>
      <c r="B20" s="71">
        <v>2.5000000000000001E-3</v>
      </c>
      <c r="C20" s="71">
        <v>0.25</v>
      </c>
      <c r="D20" s="71">
        <v>0.25</v>
      </c>
      <c r="E20" s="71">
        <v>2.5000000000000001E-3</v>
      </c>
      <c r="F20" s="71">
        <v>0.25</v>
      </c>
      <c r="G20" s="71">
        <v>0.25</v>
      </c>
      <c r="H20" s="71">
        <v>0.5</v>
      </c>
      <c r="I20" s="71">
        <v>1</v>
      </c>
    </row>
    <row r="21" spans="1:9" x14ac:dyDescent="0.2">
      <c r="A21" s="68" t="s">
        <v>62</v>
      </c>
      <c r="B21" s="71">
        <v>0.2</v>
      </c>
      <c r="C21" s="68"/>
      <c r="D21" s="68"/>
      <c r="E21" s="68"/>
      <c r="F21" s="71">
        <v>0.1</v>
      </c>
      <c r="G21" s="68"/>
      <c r="H21" s="68"/>
      <c r="I21" s="71">
        <v>0.1</v>
      </c>
    </row>
    <row r="23" spans="1:9" s="181" customFormat="1" ht="11.25" x14ac:dyDescent="0.2">
      <c r="A23" s="181" t="s">
        <v>238</v>
      </c>
    </row>
    <row r="24" spans="1:9" s="181" customFormat="1" ht="11.25" x14ac:dyDescent="0.2">
      <c r="A24" s="181" t="s">
        <v>237</v>
      </c>
    </row>
  </sheetData>
  <customSheetViews>
    <customSheetView guid="{9B3B61F6-A1A7-41F3-8F3A-A7753DA80303}">
      <selection activeCell="I14" sqref="I14"/>
      <pageMargins left="0.7" right="0.7" top="0.75" bottom="0.75" header="0.3" footer="0.3"/>
    </customSheetView>
    <customSheetView guid="{7C37EEDC-D8AA-4F75-97FC-50D5DCC14924}">
      <selection activeCell="K17" sqref="A1:XFD1048576"/>
      <pageMargins left="0.7" right="0.7" top="0.75" bottom="0.75" header="0.3" footer="0.3"/>
    </customSheetView>
  </customSheetViews>
  <mergeCells count="7">
    <mergeCell ref="K1:N1"/>
    <mergeCell ref="O1:Q1"/>
    <mergeCell ref="B12:E12"/>
    <mergeCell ref="F12:H12"/>
    <mergeCell ref="B1:D1"/>
    <mergeCell ref="E1:G1"/>
    <mergeCell ref="H1:J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72"/>
  <sheetViews>
    <sheetView topLeftCell="A30" zoomScaleNormal="100" workbookViewId="0">
      <selection activeCell="A59" sqref="A59:XFD60"/>
    </sheetView>
  </sheetViews>
  <sheetFormatPr defaultRowHeight="14.25" x14ac:dyDescent="0.2"/>
  <cols>
    <col min="1" max="1" width="33.7109375" style="112" bestFit="1" customWidth="1"/>
    <col min="2" max="2" width="9.140625" style="112"/>
    <col min="3" max="3" width="20.85546875" style="112" bestFit="1" customWidth="1"/>
    <col min="4" max="4" width="19.85546875" style="112" bestFit="1" customWidth="1"/>
    <col min="5" max="12" width="18.85546875" style="112" bestFit="1" customWidth="1"/>
    <col min="13" max="13" width="15.5703125" style="112" bestFit="1" customWidth="1"/>
    <col min="14" max="16384" width="9.140625" style="112"/>
  </cols>
  <sheetData>
    <row r="1" spans="1:7" x14ac:dyDescent="0.2">
      <c r="A1" s="111"/>
    </row>
    <row r="2" spans="1:7" x14ac:dyDescent="0.2">
      <c r="C2" s="113"/>
    </row>
    <row r="3" spans="1:7" x14ac:dyDescent="0.2">
      <c r="C3" s="113"/>
    </row>
    <row r="4" spans="1:7" x14ac:dyDescent="0.2">
      <c r="A4" s="112" t="s">
        <v>99</v>
      </c>
      <c r="C4" s="114">
        <v>0.34499999999999997</v>
      </c>
    </row>
    <row r="5" spans="1:7" x14ac:dyDescent="0.2">
      <c r="C5" s="113"/>
    </row>
    <row r="6" spans="1:7" x14ac:dyDescent="0.2">
      <c r="A6" s="115" t="s">
        <v>98</v>
      </c>
      <c r="B6" s="116"/>
      <c r="C6" s="117"/>
      <c r="D6" s="117"/>
      <c r="E6" s="118"/>
      <c r="F6" s="117"/>
      <c r="G6" s="117"/>
    </row>
    <row r="7" spans="1:7" x14ac:dyDescent="0.2">
      <c r="A7" s="119" t="s">
        <v>97</v>
      </c>
      <c r="B7" s="119"/>
      <c r="C7" s="119"/>
      <c r="D7" s="117"/>
      <c r="E7" s="117"/>
      <c r="F7" s="117"/>
      <c r="G7" s="117"/>
    </row>
    <row r="8" spans="1:7" x14ac:dyDescent="0.2">
      <c r="A8" s="119" t="s">
        <v>96</v>
      </c>
      <c r="B8" s="120"/>
      <c r="C8" s="121">
        <f>'Workings '!B27</f>
        <v>1231049700000</v>
      </c>
      <c r="D8" s="117"/>
      <c r="E8" s="117"/>
      <c r="F8" s="117"/>
      <c r="G8" s="117"/>
    </row>
    <row r="9" spans="1:7" x14ac:dyDescent="0.2">
      <c r="A9" s="119" t="s">
        <v>95</v>
      </c>
      <c r="B9" s="120"/>
      <c r="C9" s="121">
        <f>'Workings '!B26</f>
        <v>4997365327161.9004</v>
      </c>
      <c r="D9" s="117"/>
      <c r="E9" s="117"/>
      <c r="F9" s="117"/>
      <c r="G9" s="117"/>
    </row>
    <row r="10" spans="1:7" x14ac:dyDescent="0.2">
      <c r="A10" s="122" t="s">
        <v>94</v>
      </c>
      <c r="B10" s="118">
        <f>'Workings '!B14</f>
        <v>7.7499999999999999E-2</v>
      </c>
      <c r="C10" s="123"/>
      <c r="D10" s="117"/>
      <c r="E10" s="117"/>
      <c r="F10" s="117"/>
      <c r="G10" s="117"/>
    </row>
    <row r="11" spans="1:7" x14ac:dyDescent="0.2">
      <c r="A11" s="122" t="s">
        <v>93</v>
      </c>
      <c r="B11" s="124">
        <f>'Workings '!B18</f>
        <v>1.05</v>
      </c>
      <c r="C11" s="123"/>
      <c r="D11" s="117"/>
      <c r="E11" s="117"/>
      <c r="F11" s="117"/>
      <c r="G11" s="117"/>
    </row>
    <row r="12" spans="1:7" x14ac:dyDescent="0.2">
      <c r="A12" s="125" t="s">
        <v>92</v>
      </c>
      <c r="B12" s="124">
        <f>'Workings '!B19</f>
        <v>1</v>
      </c>
      <c r="C12" s="123"/>
      <c r="D12" s="117"/>
      <c r="E12" s="117"/>
      <c r="F12" s="117"/>
      <c r="G12" s="117"/>
    </row>
    <row r="13" spans="1:7" x14ac:dyDescent="0.2">
      <c r="A13" s="122" t="s">
        <v>91</v>
      </c>
      <c r="B13" s="118">
        <f>'Workings '!B13</f>
        <v>7.8700000000000006E-2</v>
      </c>
      <c r="C13" s="123"/>
      <c r="D13" s="117"/>
      <c r="E13" s="117"/>
      <c r="F13" s="117"/>
      <c r="G13" s="117"/>
    </row>
    <row r="14" spans="1:7" x14ac:dyDescent="0.2">
      <c r="A14" s="119" t="s">
        <v>90</v>
      </c>
      <c r="B14" s="119"/>
      <c r="C14" s="118">
        <f>'Workings '!B22</f>
        <v>0.16013500000000003</v>
      </c>
      <c r="D14" s="117"/>
      <c r="E14" s="117"/>
      <c r="F14" s="117"/>
      <c r="G14" s="117"/>
    </row>
    <row r="15" spans="1:7" x14ac:dyDescent="0.2">
      <c r="A15" s="119" t="s">
        <v>89</v>
      </c>
      <c r="B15" s="119"/>
      <c r="C15" s="118">
        <f>'Workings '!B24</f>
        <v>0.15620000000000001</v>
      </c>
      <c r="D15" s="117"/>
      <c r="E15" s="117"/>
      <c r="F15" s="117"/>
      <c r="G15" s="117"/>
    </row>
    <row r="16" spans="1:7" x14ac:dyDescent="0.2">
      <c r="A16" s="119" t="s">
        <v>88</v>
      </c>
      <c r="B16" s="119"/>
      <c r="C16" s="126">
        <f>'Workings '!B23</f>
        <v>7.7499999999999999E-2</v>
      </c>
      <c r="D16" s="117"/>
      <c r="E16" s="117"/>
      <c r="F16" s="117"/>
      <c r="G16" s="117"/>
    </row>
    <row r="17" spans="1:7" x14ac:dyDescent="0.2">
      <c r="A17" s="119" t="s">
        <v>87</v>
      </c>
      <c r="B17" s="119"/>
      <c r="C17" s="126">
        <f>C16*(1-C4)</f>
        <v>5.0762500000000002E-2</v>
      </c>
      <c r="D17" s="117"/>
      <c r="E17" s="117"/>
      <c r="F17" s="117"/>
      <c r="G17" s="117"/>
    </row>
    <row r="18" spans="1:7" x14ac:dyDescent="0.2">
      <c r="A18" s="119" t="s">
        <v>86</v>
      </c>
      <c r="B18" s="119"/>
      <c r="C18" s="127">
        <f>((C9*C14)+(C8*C16))/(C8+C9)</f>
        <v>0.14380214621362442</v>
      </c>
      <c r="D18" s="117"/>
      <c r="E18" s="117"/>
      <c r="F18" s="117"/>
      <c r="G18" s="117"/>
    </row>
    <row r="19" spans="1:7" x14ac:dyDescent="0.2">
      <c r="A19" s="119" t="s">
        <v>85</v>
      </c>
      <c r="B19" s="128"/>
      <c r="C19" s="129">
        <f>((C9*C15)+(C8*C16))/(C8+C9)</f>
        <v>0.14064490115583275</v>
      </c>
      <c r="D19" s="117"/>
      <c r="E19" s="117"/>
      <c r="F19" s="117"/>
      <c r="G19" s="117"/>
    </row>
    <row r="20" spans="1:7" x14ac:dyDescent="0.2">
      <c r="A20" s="119"/>
      <c r="B20" s="128"/>
      <c r="C20" s="128"/>
      <c r="D20" s="117"/>
      <c r="E20" s="117"/>
      <c r="F20" s="117"/>
      <c r="G20" s="117"/>
    </row>
    <row r="21" spans="1:7" x14ac:dyDescent="0.2">
      <c r="A21" s="119"/>
      <c r="B21" s="128"/>
      <c r="C21" s="128"/>
      <c r="D21" s="117"/>
      <c r="E21" s="117"/>
      <c r="F21" s="117"/>
      <c r="G21" s="117"/>
    </row>
    <row r="22" spans="1:7" x14ac:dyDescent="0.2">
      <c r="A22" s="116"/>
      <c r="B22" s="116"/>
      <c r="C22" s="130"/>
      <c r="D22" s="130"/>
      <c r="E22" s="130"/>
      <c r="F22" s="130"/>
      <c r="G22" s="130"/>
    </row>
    <row r="23" spans="1:7" x14ac:dyDescent="0.2">
      <c r="A23" s="116" t="s">
        <v>84</v>
      </c>
      <c r="B23" s="116"/>
      <c r="C23" s="131"/>
      <c r="E23" s="131"/>
      <c r="F23" s="131"/>
      <c r="G23" s="131"/>
    </row>
    <row r="24" spans="1:7" x14ac:dyDescent="0.2">
      <c r="A24" s="132" t="s">
        <v>165</v>
      </c>
      <c r="B24" s="132"/>
      <c r="C24" s="133">
        <v>0.12620000000000001</v>
      </c>
      <c r="D24" s="132"/>
      <c r="E24" s="203"/>
      <c r="F24" s="203"/>
      <c r="G24" s="203"/>
    </row>
    <row r="25" spans="1:7" x14ac:dyDescent="0.2">
      <c r="A25" s="132" t="s">
        <v>166</v>
      </c>
      <c r="B25" s="132"/>
      <c r="C25" s="133">
        <v>0.1</v>
      </c>
      <c r="D25" s="132"/>
      <c r="E25" s="203"/>
      <c r="F25" s="203"/>
      <c r="G25" s="203"/>
    </row>
    <row r="26" spans="1:7" x14ac:dyDescent="0.2">
      <c r="A26" s="132" t="s">
        <v>83</v>
      </c>
      <c r="B26" s="132"/>
      <c r="C26" s="133">
        <v>0.06</v>
      </c>
      <c r="D26" s="132"/>
      <c r="E26" s="203"/>
      <c r="F26" s="203"/>
      <c r="G26" s="203"/>
    </row>
    <row r="27" spans="1:7" x14ac:dyDescent="0.2">
      <c r="A27" s="116"/>
      <c r="B27" s="116"/>
      <c r="D27" s="116"/>
      <c r="E27" s="116"/>
      <c r="F27" s="116"/>
      <c r="G27" s="116"/>
    </row>
    <row r="28" spans="1:7" x14ac:dyDescent="0.2">
      <c r="A28" s="134" t="s">
        <v>82</v>
      </c>
      <c r="B28" s="134"/>
      <c r="C28" s="135">
        <v>2017</v>
      </c>
      <c r="D28" s="135">
        <v>2018</v>
      </c>
      <c r="E28" s="136"/>
      <c r="F28" s="136"/>
      <c r="G28" s="136"/>
    </row>
    <row r="29" spans="1:7" x14ac:dyDescent="0.2">
      <c r="A29" s="116"/>
      <c r="B29" s="116"/>
      <c r="C29" s="116"/>
      <c r="D29" s="116"/>
      <c r="E29" s="116"/>
      <c r="F29" s="116"/>
      <c r="G29" s="116"/>
    </row>
    <row r="30" spans="1:7" x14ac:dyDescent="0.2">
      <c r="A30" s="115" t="s">
        <v>81</v>
      </c>
      <c r="B30" s="137"/>
      <c r="C30" s="138"/>
      <c r="D30" s="138"/>
      <c r="E30" s="116"/>
      <c r="F30" s="116"/>
      <c r="G30" s="116"/>
    </row>
    <row r="31" spans="1:7" x14ac:dyDescent="0.2">
      <c r="A31" s="119" t="s">
        <v>80</v>
      </c>
      <c r="B31" s="137"/>
      <c r="C31" s="138"/>
      <c r="D31" s="139">
        <f>'Workings '!C2</f>
        <v>266973200000</v>
      </c>
      <c r="E31" s="116"/>
      <c r="F31" s="116"/>
      <c r="G31" s="116"/>
    </row>
    <row r="32" spans="1:7" x14ac:dyDescent="0.2">
      <c r="A32" s="116" t="str">
        <f>'Workings '!A3</f>
        <v>Capital Expenditure</v>
      </c>
      <c r="B32" s="116"/>
      <c r="C32" s="140"/>
      <c r="D32" s="141"/>
      <c r="E32" s="140"/>
      <c r="F32" s="140"/>
      <c r="G32" s="140"/>
    </row>
    <row r="33" spans="1:15" x14ac:dyDescent="0.2">
      <c r="A33" s="142" t="s">
        <v>79</v>
      </c>
      <c r="B33" s="143"/>
      <c r="C33" s="144">
        <f>'Workings '!B4</f>
        <v>36267379000</v>
      </c>
      <c r="D33" s="145">
        <f>'Workings '!B5</f>
        <v>36072045000</v>
      </c>
      <c r="E33" s="146"/>
      <c r="F33" s="146"/>
      <c r="G33" s="146"/>
    </row>
    <row r="34" spans="1:15" x14ac:dyDescent="0.2">
      <c r="A34" s="116" t="str">
        <f>'Workings '!A6</f>
        <v>Depreciation</v>
      </c>
      <c r="B34" s="128"/>
      <c r="C34" s="147"/>
      <c r="D34" s="148">
        <f>'Workings '!C6</f>
        <v>9063418000</v>
      </c>
      <c r="E34" s="147"/>
      <c r="F34" s="147"/>
      <c r="G34" s="147"/>
    </row>
    <row r="35" spans="1:15" x14ac:dyDescent="0.2">
      <c r="A35" s="116" t="str">
        <f>'Workings '!A7</f>
        <v>Changes in Working Capital</v>
      </c>
      <c r="B35" s="116"/>
      <c r="C35" s="149">
        <f>'Workings '!B8</f>
        <v>1109123843000</v>
      </c>
      <c r="D35" s="148">
        <f>'Workings '!B9</f>
        <v>1028776785000</v>
      </c>
      <c r="E35" s="128"/>
      <c r="F35" s="128"/>
      <c r="G35" s="128"/>
    </row>
    <row r="36" spans="1:15" x14ac:dyDescent="0.2">
      <c r="A36" s="116" t="s">
        <v>78</v>
      </c>
      <c r="B36" s="128"/>
      <c r="C36" s="147"/>
      <c r="D36" s="148">
        <f>(D31*(1-C4))-((D33-C33)-D34)-(D35-C35)</f>
        <v>264473256000</v>
      </c>
      <c r="E36" s="147"/>
      <c r="F36" s="147"/>
      <c r="G36" s="147"/>
    </row>
    <row r="37" spans="1:15" x14ac:dyDescent="0.2">
      <c r="A37" s="116"/>
      <c r="B37" s="128"/>
      <c r="C37" s="147"/>
      <c r="D37" s="147"/>
      <c r="E37" s="147"/>
      <c r="F37" s="147"/>
      <c r="G37" s="147"/>
    </row>
    <row r="38" spans="1:15" x14ac:dyDescent="0.2">
      <c r="A38" s="134" t="s">
        <v>77</v>
      </c>
      <c r="B38" s="134"/>
      <c r="C38" s="150">
        <v>2019</v>
      </c>
      <c r="D38" s="150">
        <v>2020</v>
      </c>
      <c r="E38" s="150">
        <v>2021</v>
      </c>
      <c r="F38" s="150">
        <v>2022</v>
      </c>
      <c r="G38" s="150">
        <v>2023</v>
      </c>
    </row>
    <row r="39" spans="1:15" x14ac:dyDescent="0.2">
      <c r="A39" s="116" t="s">
        <v>75</v>
      </c>
      <c r="B39" s="128"/>
      <c r="C39" s="147">
        <v>1</v>
      </c>
      <c r="D39" s="147">
        <v>2</v>
      </c>
      <c r="E39" s="147">
        <v>3</v>
      </c>
      <c r="F39" s="147">
        <v>4</v>
      </c>
      <c r="G39" s="147">
        <v>5</v>
      </c>
    </row>
    <row r="40" spans="1:15" x14ac:dyDescent="0.2">
      <c r="A40" s="112" t="s">
        <v>76</v>
      </c>
      <c r="C40" s="151">
        <f>($D$36*POWER((1+$C$24),C39))/POWER((1+$C$18),C39)</f>
        <v>260403236602.75031</v>
      </c>
      <c r="D40" s="151">
        <f>($D$36*POWER((1+$C$24),D39))/POWER((1+$C$18),D39)</f>
        <v>256395851356.66031</v>
      </c>
      <c r="E40" s="151">
        <f>($D$36*POWER((1+$C$24),E39))/POWER((1+$C$18),E39)</f>
        <v>252450136375.19562</v>
      </c>
      <c r="F40" s="151">
        <f>($D$36*POWER((1+$C$24),F39))/POWER((1+$C$18),F39)</f>
        <v>248565142605.21924</v>
      </c>
      <c r="G40" s="151">
        <f>($D$36*POWER((1+$C$24),G39))/POWER((1+$C$18),G39)</f>
        <v>244739935598.71808</v>
      </c>
    </row>
    <row r="41" spans="1:15" x14ac:dyDescent="0.2">
      <c r="A41" s="119"/>
      <c r="B41" s="116"/>
      <c r="C41" s="152"/>
      <c r="D41" s="152"/>
      <c r="E41" s="152"/>
      <c r="F41" s="152"/>
      <c r="G41" s="152"/>
    </row>
    <row r="42" spans="1:15" x14ac:dyDescent="0.2">
      <c r="A42" s="134" t="s">
        <v>74</v>
      </c>
      <c r="B42" s="134"/>
      <c r="C42" s="150">
        <v>2024</v>
      </c>
      <c r="D42" s="150">
        <v>2025</v>
      </c>
      <c r="E42" s="150">
        <v>2026</v>
      </c>
      <c r="F42" s="150">
        <v>2027</v>
      </c>
      <c r="G42" s="150">
        <v>2028</v>
      </c>
      <c r="H42" s="150">
        <v>2029</v>
      </c>
      <c r="I42" s="150">
        <v>2030</v>
      </c>
      <c r="J42" s="150">
        <v>2031</v>
      </c>
      <c r="K42" s="150">
        <v>2032</v>
      </c>
      <c r="L42" s="150">
        <v>2033</v>
      </c>
      <c r="M42" s="178"/>
      <c r="N42" s="178"/>
      <c r="O42" s="178"/>
    </row>
    <row r="43" spans="1:15" x14ac:dyDescent="0.2">
      <c r="A43" s="116" t="s">
        <v>75</v>
      </c>
      <c r="B43" s="116"/>
      <c r="C43" s="153">
        <f>$G$39+1</f>
        <v>6</v>
      </c>
      <c r="D43" s="154">
        <f t="shared" ref="D43:L43" si="0">C43+1</f>
        <v>7</v>
      </c>
      <c r="E43" s="154">
        <f t="shared" si="0"/>
        <v>8</v>
      </c>
      <c r="F43" s="154">
        <f t="shared" si="0"/>
        <v>9</v>
      </c>
      <c r="G43" s="154">
        <f t="shared" si="0"/>
        <v>10</v>
      </c>
      <c r="H43" s="154">
        <f t="shared" si="0"/>
        <v>11</v>
      </c>
      <c r="I43" s="154">
        <f t="shared" si="0"/>
        <v>12</v>
      </c>
      <c r="J43" s="154">
        <f t="shared" si="0"/>
        <v>13</v>
      </c>
      <c r="K43" s="154">
        <f t="shared" si="0"/>
        <v>14</v>
      </c>
      <c r="L43" s="154">
        <f t="shared" si="0"/>
        <v>15</v>
      </c>
      <c r="M43" s="154"/>
      <c r="N43" s="132"/>
      <c r="O43" s="132"/>
    </row>
    <row r="44" spans="1:15" x14ac:dyDescent="0.2">
      <c r="A44" s="116" t="str">
        <f>A40</f>
        <v>PV of FCF</v>
      </c>
      <c r="B44" s="116"/>
      <c r="C44" s="155">
        <f t="shared" ref="C44:L44" si="1">($D$36*POWER((1+$C$25),C43))/POWER((1+$C$18),C43)</f>
        <v>209234083124.06519</v>
      </c>
      <c r="D44" s="155">
        <f t="shared" si="1"/>
        <v>201221419454.72968</v>
      </c>
      <c r="E44" s="155">
        <f t="shared" si="1"/>
        <v>193515602443.06708</v>
      </c>
      <c r="F44" s="155">
        <f t="shared" si="1"/>
        <v>186104881331.12604</v>
      </c>
      <c r="G44" s="155">
        <f t="shared" si="1"/>
        <v>178977955358.72742</v>
      </c>
      <c r="H44" s="155">
        <f t="shared" si="1"/>
        <v>172123956530.70435</v>
      </c>
      <c r="I44" s="155">
        <f t="shared" si="1"/>
        <v>165532433044.07388</v>
      </c>
      <c r="J44" s="155">
        <f t="shared" si="1"/>
        <v>159193333349.86917</v>
      </c>
      <c r="K44" s="155">
        <f t="shared" si="1"/>
        <v>153096990825.3266</v>
      </c>
      <c r="L44" s="155">
        <f t="shared" si="1"/>
        <v>147234109033.05515</v>
      </c>
      <c r="M44" s="154"/>
      <c r="N44" s="132"/>
      <c r="O44" s="132"/>
    </row>
    <row r="45" spans="1:15" x14ac:dyDescent="0.2">
      <c r="A45" s="116"/>
      <c r="B45" s="116"/>
      <c r="C45" s="156"/>
      <c r="D45" s="156"/>
      <c r="E45" s="156"/>
      <c r="F45" s="156"/>
      <c r="G45" s="156"/>
    </row>
    <row r="46" spans="1:15" x14ac:dyDescent="0.2">
      <c r="A46" s="134" t="s">
        <v>74</v>
      </c>
      <c r="B46" s="134"/>
      <c r="C46" s="156"/>
      <c r="D46" s="156"/>
      <c r="E46" s="156"/>
      <c r="F46" s="156"/>
      <c r="G46" s="156"/>
    </row>
    <row r="47" spans="1:15" x14ac:dyDescent="0.2">
      <c r="A47" s="116" t="s">
        <v>73</v>
      </c>
      <c r="B47" s="116"/>
      <c r="C47" s="155">
        <f>(($D$36*POWER((1+$C$24),L43)*(1+C26))/(C15-C16))/POWER((1+C18),L43)</f>
        <v>2822813158494.7021</v>
      </c>
      <c r="D47" s="156"/>
      <c r="E47" s="156"/>
      <c r="F47" s="156"/>
      <c r="G47" s="156"/>
    </row>
    <row r="48" spans="1:15" x14ac:dyDescent="0.2">
      <c r="A48" s="119"/>
      <c r="B48" s="116"/>
      <c r="C48" s="132"/>
      <c r="D48" s="157"/>
      <c r="E48" s="157"/>
      <c r="F48" s="157"/>
      <c r="G48" s="157"/>
    </row>
    <row r="49" spans="1:7" x14ac:dyDescent="0.2">
      <c r="A49" s="116"/>
      <c r="B49" s="116"/>
      <c r="C49" s="117"/>
      <c r="D49" s="117"/>
      <c r="E49" s="117"/>
      <c r="F49" s="117"/>
      <c r="G49" s="117"/>
    </row>
    <row r="50" spans="1:7" x14ac:dyDescent="0.2">
      <c r="A50" s="158" t="s">
        <v>70</v>
      </c>
      <c r="B50" s="134"/>
      <c r="C50" s="116"/>
      <c r="D50" s="159"/>
      <c r="E50" s="159"/>
      <c r="F50" s="159"/>
      <c r="G50" s="159"/>
    </row>
    <row r="51" spans="1:7" x14ac:dyDescent="0.2">
      <c r="A51" s="116" t="str">
        <f>'Workings '!A12</f>
        <v>Cash</v>
      </c>
      <c r="B51" s="119"/>
      <c r="C51" s="160">
        <f>'Workings '!C12</f>
        <v>1229150827000</v>
      </c>
      <c r="D51" s="161"/>
      <c r="E51" s="161"/>
      <c r="F51" s="161"/>
      <c r="G51" s="161"/>
    </row>
    <row r="52" spans="1:7" x14ac:dyDescent="0.2">
      <c r="A52" s="119" t="str">
        <f>'Workings '!A26</f>
        <v xml:space="preserve">Market Value of Equity </v>
      </c>
      <c r="B52" s="116"/>
      <c r="C52" s="162">
        <f>'Workings '!B26</f>
        <v>4997365327161.9004</v>
      </c>
      <c r="D52" s="140"/>
      <c r="E52" s="140"/>
      <c r="F52" s="140"/>
      <c r="G52" s="140"/>
    </row>
    <row r="53" spans="1:7" x14ac:dyDescent="0.2">
      <c r="A53" s="119" t="str">
        <f>'Workings '!A27</f>
        <v>Book Value of Debt</v>
      </c>
      <c r="B53" s="116"/>
      <c r="C53" s="163">
        <f>'Workings '!B27</f>
        <v>1231049700000</v>
      </c>
      <c r="D53" s="164"/>
      <c r="E53" s="164"/>
      <c r="F53" s="164"/>
      <c r="G53" s="165"/>
    </row>
    <row r="54" spans="1:7" x14ac:dyDescent="0.2">
      <c r="A54" s="119" t="str">
        <f>'Workings '!A25</f>
        <v>Number of Shares Outstanding</v>
      </c>
      <c r="B54" s="119"/>
      <c r="C54" s="138">
        <f>'Workings '!B25</f>
        <v>2595090267</v>
      </c>
      <c r="D54" s="116"/>
      <c r="E54" s="116"/>
      <c r="F54" s="116"/>
      <c r="G54" s="117"/>
    </row>
    <row r="55" spans="1:7" x14ac:dyDescent="0.2">
      <c r="A55" s="119" t="s">
        <v>72</v>
      </c>
      <c r="B55" s="116"/>
      <c r="C55" s="166">
        <f>SUM(C40:G40)+SUM(C44:L44)+C47</f>
        <v>5851602225527.9902</v>
      </c>
      <c r="D55" s="117"/>
      <c r="E55" s="116"/>
      <c r="F55" s="116"/>
      <c r="G55" s="116"/>
    </row>
    <row r="56" spans="1:7" x14ac:dyDescent="0.2">
      <c r="A56" s="119" t="s">
        <v>71</v>
      </c>
      <c r="B56" s="116"/>
      <c r="C56" s="166">
        <f>C55-C53+C51</f>
        <v>5849703352527.9902</v>
      </c>
      <c r="D56" s="116"/>
      <c r="E56" s="167"/>
      <c r="F56" s="116"/>
      <c r="G56" s="116"/>
    </row>
    <row r="57" spans="1:7" x14ac:dyDescent="0.2">
      <c r="A57" s="168" t="s">
        <v>70</v>
      </c>
      <c r="B57" s="140"/>
      <c r="C57" s="169">
        <f>C56/C54</f>
        <v>2254.1425348145667</v>
      </c>
      <c r="D57" s="116"/>
      <c r="E57" s="116"/>
      <c r="F57" s="116"/>
      <c r="G57" s="116"/>
    </row>
    <row r="58" spans="1:7" x14ac:dyDescent="0.2">
      <c r="B58" s="170"/>
      <c r="C58" s="116"/>
      <c r="D58" s="116"/>
      <c r="E58" s="116"/>
      <c r="F58" s="116"/>
      <c r="G58" s="116"/>
    </row>
    <row r="59" spans="1:7" s="185" customFormat="1" ht="11.25" x14ac:dyDescent="0.2">
      <c r="A59" s="183" t="s">
        <v>239</v>
      </c>
      <c r="B59" s="184"/>
    </row>
    <row r="60" spans="1:7" s="185" customFormat="1" ht="11.25" x14ac:dyDescent="0.2">
      <c r="A60" s="186" t="s">
        <v>237</v>
      </c>
      <c r="B60" s="187"/>
    </row>
    <row r="61" spans="1:7" x14ac:dyDescent="0.2">
      <c r="A61" s="116"/>
      <c r="B61" s="171"/>
      <c r="C61" s="116"/>
      <c r="D61" s="116"/>
      <c r="E61" s="116"/>
      <c r="F61" s="116"/>
      <c r="G61" s="116"/>
    </row>
    <row r="62" spans="1:7" x14ac:dyDescent="0.2">
      <c r="A62" s="116"/>
      <c r="B62" s="157"/>
      <c r="C62" s="116"/>
      <c r="D62" s="116"/>
      <c r="E62" s="116"/>
      <c r="F62" s="116"/>
      <c r="G62" s="116"/>
    </row>
    <row r="63" spans="1:7" x14ac:dyDescent="0.2">
      <c r="A63" s="172"/>
      <c r="B63" s="128"/>
      <c r="C63" s="116"/>
      <c r="D63" s="116"/>
      <c r="E63" s="116"/>
      <c r="F63" s="116"/>
      <c r="G63" s="116"/>
    </row>
    <row r="64" spans="1:7" x14ac:dyDescent="0.2">
      <c r="A64" s="115"/>
      <c r="B64" s="132"/>
      <c r="C64" s="116"/>
      <c r="D64" s="116"/>
      <c r="E64" s="116"/>
      <c r="F64" s="116"/>
      <c r="G64" s="116"/>
    </row>
    <row r="65" spans="1:7" x14ac:dyDescent="0.2">
      <c r="A65" s="119"/>
      <c r="B65" s="157"/>
      <c r="C65" s="116"/>
      <c r="D65" s="116"/>
      <c r="E65" s="116"/>
      <c r="F65" s="116"/>
      <c r="G65" s="116"/>
    </row>
    <row r="66" spans="1:7" x14ac:dyDescent="0.2">
      <c r="A66" s="119"/>
      <c r="B66" s="157"/>
      <c r="C66" s="116"/>
      <c r="D66" s="116"/>
      <c r="E66" s="116"/>
      <c r="F66" s="116"/>
      <c r="G66" s="116"/>
    </row>
    <row r="67" spans="1:7" x14ac:dyDescent="0.2">
      <c r="A67" s="119"/>
      <c r="B67" s="157"/>
      <c r="C67" s="116"/>
      <c r="D67" s="116"/>
      <c r="E67" s="116"/>
      <c r="F67" s="116"/>
      <c r="G67" s="116"/>
    </row>
    <row r="68" spans="1:7" x14ac:dyDescent="0.2">
      <c r="A68" s="116"/>
      <c r="B68" s="157"/>
      <c r="C68" s="116"/>
      <c r="D68" s="116"/>
      <c r="E68" s="116"/>
      <c r="F68" s="116"/>
      <c r="G68" s="116"/>
    </row>
    <row r="69" spans="1:7" x14ac:dyDescent="0.2">
      <c r="A69" s="116"/>
      <c r="B69" s="157"/>
      <c r="C69" s="116"/>
      <c r="D69" s="116"/>
      <c r="E69" s="116"/>
      <c r="F69" s="116"/>
      <c r="G69" s="116"/>
    </row>
    <row r="70" spans="1:7" x14ac:dyDescent="0.2">
      <c r="A70" s="116"/>
      <c r="B70" s="172"/>
      <c r="C70" s="116"/>
      <c r="D70" s="116"/>
      <c r="E70" s="116"/>
      <c r="F70" s="116"/>
      <c r="G70" s="116"/>
    </row>
    <row r="71" spans="1:7" x14ac:dyDescent="0.2">
      <c r="A71" s="116"/>
      <c r="B71" s="173"/>
      <c r="C71" s="116"/>
      <c r="D71" s="116"/>
      <c r="E71" s="116"/>
      <c r="F71" s="116"/>
      <c r="G71" s="116"/>
    </row>
    <row r="72" spans="1:7" x14ac:dyDescent="0.2">
      <c r="A72" s="174"/>
      <c r="B72" s="174"/>
      <c r="C72" s="175"/>
      <c r="D72" s="173"/>
      <c r="E72" s="116"/>
      <c r="F72" s="116"/>
      <c r="G72" s="116"/>
    </row>
  </sheetData>
  <customSheetViews>
    <customSheetView guid="{9B3B61F6-A1A7-41F3-8F3A-A7753DA80303}" scale="115" topLeftCell="A28">
      <selection activeCell="A26" sqref="A26"/>
      <pageMargins left="0.7" right="0.7" top="0.75" bottom="0.75" header="0.3" footer="0.3"/>
      <pageSetup paperSize="9" orientation="portrait" r:id="rId1"/>
      <headerFooter>
        <oddHeader>&amp;L&amp;"Calibri"&amp;10&amp;K000000Signify Classified - Internal&amp;1#</oddHeader>
      </headerFooter>
    </customSheetView>
    <customSheetView guid="{7C37EEDC-D8AA-4F75-97FC-50D5DCC14924}" scale="115" topLeftCell="A28">
      <selection activeCell="I33" sqref="I33"/>
      <pageMargins left="0.7" right="0.7" top="0.75" bottom="0.75" header="0.3" footer="0.3"/>
      <pageSetup paperSize="9" orientation="portrait" r:id="rId2"/>
      <headerFooter>
        <oddHeader>&amp;L&amp;"Calibri"&amp;10&amp;K000000Signify Classified - Internal&amp;1#</oddHeader>
      </headerFooter>
    </customSheetView>
  </customSheetViews>
  <mergeCells count="1">
    <mergeCell ref="E24:G26"/>
  </mergeCells>
  <pageMargins left="0.7" right="0.7" top="0.75" bottom="0.75" header="0.3" footer="0.3"/>
  <pageSetup paperSize="9" orientation="portrait" r:id="rId3"/>
  <headerFooter>
    <oddHeader>&amp;L&amp;"Calibri"&amp;10&amp;K000000Signify Classified - Internal&amp;1#</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5"/>
  <sheetViews>
    <sheetView zoomScaleNormal="100" workbookViewId="0">
      <selection activeCell="B38" sqref="B38"/>
    </sheetView>
  </sheetViews>
  <sheetFormatPr defaultColWidth="8.85546875" defaultRowHeight="14.25" x14ac:dyDescent="0.2"/>
  <cols>
    <col min="1" max="1" width="47.28515625" style="24" customWidth="1"/>
    <col min="2" max="2" width="26.42578125" style="37" customWidth="1"/>
    <col min="3" max="3" width="24.42578125" style="37" customWidth="1"/>
    <col min="4" max="4" width="4.85546875" style="37" customWidth="1"/>
    <col min="5" max="5" width="30.28515625" style="24" customWidth="1"/>
    <col min="6" max="6" width="8.85546875" style="24" customWidth="1"/>
    <col min="7" max="7" width="23.42578125" style="24" customWidth="1"/>
    <col min="8" max="8" width="26.28515625" style="24" customWidth="1"/>
    <col min="9" max="16384" width="8.85546875" style="24"/>
  </cols>
  <sheetData>
    <row r="1" spans="1:13" ht="15" x14ac:dyDescent="0.25">
      <c r="A1" s="31" t="s">
        <v>128</v>
      </c>
      <c r="C1" s="60" t="s">
        <v>127</v>
      </c>
      <c r="D1" s="31"/>
      <c r="E1" s="24" t="s">
        <v>124</v>
      </c>
    </row>
    <row r="2" spans="1:13" ht="15" x14ac:dyDescent="0.25">
      <c r="A2" s="41" t="s">
        <v>126</v>
      </c>
      <c r="B2" s="61"/>
      <c r="C2" s="62">
        <v>266973200000</v>
      </c>
      <c r="E2" s="54"/>
      <c r="F2" s="42"/>
      <c r="G2" s="42">
        <v>2017</v>
      </c>
      <c r="H2" s="55">
        <v>2018</v>
      </c>
    </row>
    <row r="3" spans="1:13" ht="15" x14ac:dyDescent="0.25">
      <c r="A3" s="44" t="s">
        <v>125</v>
      </c>
      <c r="B3" s="51"/>
      <c r="C3" s="176">
        <f>B5-B4</f>
        <v>-195334000</v>
      </c>
      <c r="E3" s="47" t="s">
        <v>121</v>
      </c>
      <c r="F3" s="45" t="s">
        <v>115</v>
      </c>
      <c r="G3" s="51">
        <v>2144633366000</v>
      </c>
      <c r="H3" s="49">
        <v>2422002416000</v>
      </c>
    </row>
    <row r="4" spans="1:13" x14ac:dyDescent="0.2">
      <c r="A4" s="47" t="s">
        <v>123</v>
      </c>
      <c r="B4" s="63">
        <v>36267379000</v>
      </c>
      <c r="C4" s="49"/>
      <c r="E4" s="47" t="s">
        <v>119</v>
      </c>
      <c r="F4" s="45" t="s">
        <v>115</v>
      </c>
      <c r="G4" s="51">
        <v>5545682021000</v>
      </c>
      <c r="H4" s="49">
        <v>6583330908000</v>
      </c>
    </row>
    <row r="5" spans="1:13" x14ac:dyDescent="0.2">
      <c r="A5" s="47" t="s">
        <v>122</v>
      </c>
      <c r="B5" s="63">
        <v>36072045000</v>
      </c>
      <c r="C5" s="49"/>
      <c r="E5" s="47" t="s">
        <v>156</v>
      </c>
      <c r="F5" s="45" t="s">
        <v>113</v>
      </c>
      <c r="G5" s="51">
        <v>6436396563000</v>
      </c>
      <c r="H5" s="49">
        <v>7887706396000</v>
      </c>
    </row>
    <row r="6" spans="1:13" ht="15" x14ac:dyDescent="0.25">
      <c r="A6" s="44" t="s">
        <v>120</v>
      </c>
      <c r="B6" s="51"/>
      <c r="C6" s="49">
        <v>9063418000</v>
      </c>
      <c r="E6" s="47" t="s">
        <v>116</v>
      </c>
      <c r="F6" s="45" t="s">
        <v>115</v>
      </c>
      <c r="G6" s="51">
        <v>422298200000</v>
      </c>
      <c r="H6" s="49">
        <v>368787038000</v>
      </c>
    </row>
    <row r="7" spans="1:13" ht="15" x14ac:dyDescent="0.25">
      <c r="A7" s="44" t="s">
        <v>118</v>
      </c>
      <c r="B7" s="51"/>
      <c r="C7" s="176">
        <f>B9-B8</f>
        <v>-80347058000</v>
      </c>
      <c r="E7" s="47" t="s">
        <v>169</v>
      </c>
      <c r="F7" s="45" t="s">
        <v>113</v>
      </c>
      <c r="G7" s="51">
        <v>567093181000</v>
      </c>
      <c r="H7" s="49">
        <v>457637181000</v>
      </c>
    </row>
    <row r="8" spans="1:13" x14ac:dyDescent="0.2">
      <c r="A8" s="47" t="s">
        <v>117</v>
      </c>
      <c r="B8" s="51">
        <f>G8</f>
        <v>1109123843000</v>
      </c>
      <c r="C8" s="49"/>
      <c r="E8" s="56" t="s">
        <v>112</v>
      </c>
      <c r="F8" s="57"/>
      <c r="G8" s="58">
        <f>(G3+G4+G6)-(G5+G7)</f>
        <v>1109123843000</v>
      </c>
      <c r="H8" s="59">
        <f>(H3+H4+H6)-(H5+H7)</f>
        <v>1028776785000</v>
      </c>
    </row>
    <row r="9" spans="1:13" x14ac:dyDescent="0.2">
      <c r="A9" s="47" t="s">
        <v>114</v>
      </c>
      <c r="B9" s="51">
        <f>H8</f>
        <v>1028776785000</v>
      </c>
      <c r="C9" s="49"/>
    </row>
    <row r="10" spans="1:13" ht="15" x14ac:dyDescent="0.25">
      <c r="A10" s="64"/>
      <c r="B10" s="58"/>
      <c r="C10" s="65"/>
      <c r="D10" s="66"/>
    </row>
    <row r="12" spans="1:13" ht="15" x14ac:dyDescent="0.25">
      <c r="A12" s="38" t="s">
        <v>111</v>
      </c>
      <c r="B12" s="39"/>
      <c r="C12" s="40">
        <f>1046704730000+182446097000</f>
        <v>1229150827000</v>
      </c>
      <c r="G12" s="37"/>
      <c r="H12" s="37"/>
    </row>
    <row r="13" spans="1:13" ht="15" x14ac:dyDescent="0.25">
      <c r="A13" s="41" t="s">
        <v>110</v>
      </c>
      <c r="B13" s="42">
        <v>7.8700000000000006E-2</v>
      </c>
      <c r="C13" s="43"/>
    </row>
    <row r="14" spans="1:13" ht="15" x14ac:dyDescent="0.25">
      <c r="A14" s="44" t="s">
        <v>109</v>
      </c>
      <c r="B14" s="45">
        <v>7.7499999999999999E-2</v>
      </c>
      <c r="C14" s="46"/>
    </row>
    <row r="15" spans="1:13" x14ac:dyDescent="0.2">
      <c r="A15" s="47" t="s">
        <v>197</v>
      </c>
      <c r="B15" s="48">
        <v>0.12620000000000001</v>
      </c>
      <c r="C15" s="49"/>
    </row>
    <row r="16" spans="1:13" x14ac:dyDescent="0.2">
      <c r="A16" s="47" t="s">
        <v>198</v>
      </c>
      <c r="B16" s="48">
        <v>0.1</v>
      </c>
      <c r="C16" s="49"/>
      <c r="L16" s="37"/>
      <c r="M16" s="37"/>
    </row>
    <row r="17" spans="1:12" x14ac:dyDescent="0.2">
      <c r="A17" s="47" t="s">
        <v>83</v>
      </c>
      <c r="B17" s="48">
        <v>0.06</v>
      </c>
      <c r="C17" s="49"/>
    </row>
    <row r="18" spans="1:12" x14ac:dyDescent="0.2">
      <c r="A18" s="47" t="s">
        <v>108</v>
      </c>
      <c r="B18" s="50">
        <v>1.05</v>
      </c>
      <c r="C18" s="49"/>
      <c r="L18" s="37"/>
    </row>
    <row r="19" spans="1:12" x14ac:dyDescent="0.2">
      <c r="A19" s="47" t="s">
        <v>107</v>
      </c>
      <c r="B19" s="50">
        <v>1</v>
      </c>
      <c r="C19" s="49"/>
    </row>
    <row r="20" spans="1:12" ht="15" x14ac:dyDescent="0.25">
      <c r="A20" s="44" t="s">
        <v>106</v>
      </c>
      <c r="B20" s="51"/>
      <c r="C20" s="52">
        <f>((B22*B26)+(B23*B27))/(B26+B27)</f>
        <v>0.14380214621362442</v>
      </c>
    </row>
    <row r="21" spans="1:12" ht="15" x14ac:dyDescent="0.25">
      <c r="A21" s="44" t="s">
        <v>105</v>
      </c>
      <c r="B21" s="51"/>
      <c r="C21" s="52">
        <f>((B24*B26)+(B23*B27))/(B26+B27)</f>
        <v>0.14064490115583275</v>
      </c>
    </row>
    <row r="22" spans="1:12" x14ac:dyDescent="0.2">
      <c r="A22" s="47" t="s">
        <v>104</v>
      </c>
      <c r="B22" s="48">
        <f>B14+B18*B13</f>
        <v>0.16013500000000003</v>
      </c>
      <c r="C22" s="49"/>
      <c r="G22" s="37"/>
    </row>
    <row r="23" spans="1:12" x14ac:dyDescent="0.2">
      <c r="A23" s="47" t="s">
        <v>103</v>
      </c>
      <c r="B23" s="48">
        <v>7.7499999999999999E-2</v>
      </c>
      <c r="C23" s="49"/>
    </row>
    <row r="24" spans="1:12" x14ac:dyDescent="0.2">
      <c r="A24" s="47" t="s">
        <v>102</v>
      </c>
      <c r="B24" s="48">
        <f>B14+B19*B13</f>
        <v>0.15620000000000001</v>
      </c>
      <c r="C24" s="49"/>
    </row>
    <row r="25" spans="1:12" x14ac:dyDescent="0.2">
      <c r="A25" s="47" t="s">
        <v>167</v>
      </c>
      <c r="B25" s="53">
        <v>2595090267</v>
      </c>
      <c r="C25" s="49"/>
    </row>
    <row r="26" spans="1:12" x14ac:dyDescent="0.2">
      <c r="A26" s="47" t="s">
        <v>101</v>
      </c>
      <c r="B26" s="51">
        <f>1925.7*2595090267</f>
        <v>4997365327161.9004</v>
      </c>
      <c r="C26" s="49"/>
    </row>
    <row r="27" spans="1:12" x14ac:dyDescent="0.2">
      <c r="A27" s="47" t="s">
        <v>100</v>
      </c>
      <c r="B27" s="51">
        <v>1231049700000</v>
      </c>
      <c r="C27" s="49"/>
    </row>
    <row r="28" spans="1:12" ht="15" x14ac:dyDescent="0.25">
      <c r="A28" s="44" t="s">
        <v>168</v>
      </c>
      <c r="B28" s="51">
        <v>1925.7</v>
      </c>
      <c r="C28" s="49"/>
    </row>
    <row r="29" spans="1:12" ht="15" x14ac:dyDescent="0.25">
      <c r="A29" s="64"/>
      <c r="B29" s="58"/>
      <c r="C29" s="59"/>
    </row>
    <row r="30" spans="1:12" ht="15" x14ac:dyDescent="0.25">
      <c r="C30" s="67"/>
    </row>
    <row r="31" spans="1:12" s="181" customFormat="1" ht="11.25" x14ac:dyDescent="0.2">
      <c r="A31" s="181" t="s">
        <v>240</v>
      </c>
      <c r="B31" s="188"/>
      <c r="C31" s="188"/>
      <c r="D31" s="188"/>
    </row>
    <row r="32" spans="1:12" s="181" customFormat="1" ht="11.25" x14ac:dyDescent="0.2">
      <c r="A32" s="180" t="s">
        <v>241</v>
      </c>
    </row>
    <row r="34" spans="7:7" x14ac:dyDescent="0.2">
      <c r="G34" s="37"/>
    </row>
    <row r="35" spans="7:7" x14ac:dyDescent="0.2">
      <c r="G35" s="37"/>
    </row>
  </sheetData>
  <customSheetViews>
    <customSheetView guid="{9B3B61F6-A1A7-41F3-8F3A-A7753DA80303}">
      <selection activeCell="C7" sqref="C7"/>
      <pageMargins left="0.7" right="0.7" top="0.75" bottom="0.75" header="0.3" footer="0.3"/>
      <pageSetup paperSize="9" orientation="portrait" r:id="rId1"/>
      <headerFooter>
        <oddHeader>&amp;L&amp;"Calibri"&amp;10&amp;K000000Signify Classified - Internal&amp;1#</oddHeader>
      </headerFooter>
    </customSheetView>
    <customSheetView guid="{7C37EEDC-D8AA-4F75-97FC-50D5DCC14924}">
      <selection activeCell="C32" sqref="C32"/>
      <pageMargins left="0.7" right="0.7" top="0.75" bottom="0.75" header="0.3" footer="0.3"/>
      <pageSetup paperSize="9" orientation="portrait" r:id="rId2"/>
      <headerFooter>
        <oddHeader>&amp;L&amp;"Calibri"&amp;10&amp;K000000Signify Classified - Internal&amp;1#</oddHeader>
      </headerFooter>
    </customSheetView>
  </customSheetViews>
  <pageMargins left="0.7" right="0.7" top="0.75" bottom="0.75" header="0.3" footer="0.3"/>
  <pageSetup paperSize="9" orientation="portrait" r:id="rId3"/>
  <headerFooter>
    <oddHeader>&amp;L&amp;"Calibri"&amp;10&amp;K000000Signify Classified - Internal&amp;1#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4"/>
  <sheetViews>
    <sheetView zoomScaleNormal="100" workbookViewId="0">
      <selection activeCell="A13" sqref="A13"/>
    </sheetView>
  </sheetViews>
  <sheetFormatPr defaultColWidth="8.85546875" defaultRowHeight="15" x14ac:dyDescent="0.25"/>
  <cols>
    <col min="1" max="1" width="35.140625" customWidth="1"/>
    <col min="2" max="2" width="14.140625" customWidth="1"/>
    <col min="3" max="3" width="14.85546875" customWidth="1"/>
    <col min="4" max="4" width="14" customWidth="1"/>
    <col min="5" max="5" width="14.28515625" customWidth="1"/>
    <col min="6" max="6" width="16.7109375" customWidth="1"/>
  </cols>
  <sheetData>
    <row r="1" spans="1:6" ht="15.75" thickBot="1" x14ac:dyDescent="0.3">
      <c r="A1" s="20" t="s">
        <v>223</v>
      </c>
      <c r="B1" s="28"/>
      <c r="C1" s="28"/>
      <c r="D1" s="28"/>
      <c r="E1" s="28"/>
      <c r="F1" s="28"/>
    </row>
    <row r="2" spans="1:6" ht="15.75" thickBot="1" x14ac:dyDescent="0.3">
      <c r="A2" s="100" t="s">
        <v>188</v>
      </c>
      <c r="B2" s="5" t="s">
        <v>224</v>
      </c>
      <c r="C2" s="5" t="s">
        <v>225</v>
      </c>
      <c r="D2" s="5" t="s">
        <v>226</v>
      </c>
      <c r="E2" s="5" t="s">
        <v>227</v>
      </c>
      <c r="F2" s="5" t="s">
        <v>228</v>
      </c>
    </row>
    <row r="3" spans="1:6" ht="15.75" thickBot="1" x14ac:dyDescent="0.3">
      <c r="A3" s="101" t="s">
        <v>204</v>
      </c>
      <c r="B3" s="10">
        <v>65833.3</v>
      </c>
      <c r="C3" s="10">
        <v>55456.800000000003</v>
      </c>
      <c r="D3" s="10">
        <v>46459.4</v>
      </c>
      <c r="E3" s="10">
        <v>36549.5</v>
      </c>
      <c r="F3" s="10">
        <v>30300</v>
      </c>
    </row>
    <row r="4" spans="1:6" ht="15.75" thickBot="1" x14ac:dyDescent="0.3">
      <c r="A4" s="101" t="s">
        <v>205</v>
      </c>
      <c r="B4" s="10">
        <v>78877.100000000006</v>
      </c>
      <c r="C4" s="10">
        <v>64364</v>
      </c>
      <c r="D4" s="10">
        <v>54642.400000000001</v>
      </c>
      <c r="E4" s="10">
        <v>45079.6</v>
      </c>
      <c r="F4" s="10">
        <v>36733.699999999997</v>
      </c>
    </row>
    <row r="5" spans="1:6" ht="15.75" thickBot="1" x14ac:dyDescent="0.3">
      <c r="A5" s="101" t="s">
        <v>229</v>
      </c>
      <c r="B5" s="10">
        <v>4009.4859999999999</v>
      </c>
      <c r="C5" s="10">
        <v>3313.922</v>
      </c>
      <c r="D5" s="10">
        <v>2759.152</v>
      </c>
      <c r="E5" s="10">
        <v>2239.5680000000002</v>
      </c>
      <c r="F5" s="10">
        <v>1848.2629999999999</v>
      </c>
    </row>
    <row r="6" spans="1:6" ht="15.75" thickBot="1" x14ac:dyDescent="0.3">
      <c r="A6" s="101" t="s">
        <v>132</v>
      </c>
      <c r="B6" s="11">
        <v>43.5</v>
      </c>
      <c r="C6" s="11">
        <v>48</v>
      </c>
      <c r="D6" s="11">
        <v>43</v>
      </c>
      <c r="E6" s="11">
        <v>44</v>
      </c>
      <c r="F6" s="11">
        <v>44.8</v>
      </c>
    </row>
    <row r="7" spans="1:6" ht="15.75" thickBot="1" x14ac:dyDescent="0.3">
      <c r="A7" s="101" t="s">
        <v>131</v>
      </c>
      <c r="B7" s="11">
        <v>1.64</v>
      </c>
      <c r="C7" s="11">
        <v>1.68</v>
      </c>
      <c r="D7" s="11">
        <v>1.73</v>
      </c>
      <c r="E7" s="11">
        <v>1.73</v>
      </c>
      <c r="F7" s="11">
        <v>1.72</v>
      </c>
    </row>
    <row r="8" spans="1:6" ht="15.75" thickBot="1" x14ac:dyDescent="0.3">
      <c r="A8" s="101" t="s">
        <v>130</v>
      </c>
      <c r="B8" s="11">
        <v>16.45</v>
      </c>
      <c r="C8" s="11">
        <v>16.260000000000002</v>
      </c>
      <c r="D8" s="11">
        <v>16.91</v>
      </c>
      <c r="E8" s="11">
        <v>16.47</v>
      </c>
      <c r="F8" s="11">
        <v>19.5</v>
      </c>
    </row>
    <row r="9" spans="1:6" ht="15.75" thickBot="1" x14ac:dyDescent="0.3">
      <c r="A9" s="101" t="s">
        <v>129</v>
      </c>
      <c r="B9" s="11">
        <v>0.4</v>
      </c>
      <c r="C9" s="11">
        <v>0.33</v>
      </c>
      <c r="D9" s="11">
        <v>0.28000000000000003</v>
      </c>
      <c r="E9" s="11">
        <v>0.25</v>
      </c>
      <c r="F9" s="11">
        <v>0.27</v>
      </c>
    </row>
    <row r="10" spans="1:6" ht="15.75" thickBot="1" x14ac:dyDescent="0.3">
      <c r="A10" s="101" t="s">
        <v>170</v>
      </c>
      <c r="B10" s="12">
        <v>12635</v>
      </c>
      <c r="C10" s="12">
        <v>12260</v>
      </c>
      <c r="D10" s="12">
        <v>12000</v>
      </c>
      <c r="E10" s="12">
        <v>11766</v>
      </c>
      <c r="F10" s="12">
        <v>11256</v>
      </c>
    </row>
    <row r="11" spans="1:6" ht="15.75" thickBot="1" x14ac:dyDescent="0.3">
      <c r="A11" s="101" t="s">
        <v>189</v>
      </c>
      <c r="B11" s="12">
        <v>4787</v>
      </c>
      <c r="C11" s="12">
        <v>4715</v>
      </c>
      <c r="D11" s="12">
        <v>4520</v>
      </c>
      <c r="E11" s="12">
        <v>4014</v>
      </c>
      <c r="F11" s="12">
        <v>3403</v>
      </c>
    </row>
    <row r="12" spans="1:6" x14ac:dyDescent="0.25">
      <c r="A12" s="21"/>
      <c r="B12" s="22"/>
      <c r="C12" s="22"/>
      <c r="D12" s="22"/>
      <c r="E12" s="22"/>
      <c r="F12" s="22"/>
    </row>
    <row r="13" spans="1:6" x14ac:dyDescent="0.25">
      <c r="A13" s="23" t="s">
        <v>203</v>
      </c>
      <c r="B13" s="19"/>
      <c r="C13" s="19"/>
      <c r="D13" s="19"/>
      <c r="E13" s="19"/>
      <c r="F13" s="19"/>
    </row>
    <row r="14" spans="1:6" x14ac:dyDescent="0.25">
      <c r="A14" s="2"/>
    </row>
  </sheetData>
  <customSheetViews>
    <customSheetView guid="{9B3B61F6-A1A7-41F3-8F3A-A7753DA80303}">
      <selection activeCell="F17" sqref="F17"/>
      <pageMargins left="0.7" right="0.7" top="0.75" bottom="0.75" header="0.3" footer="0.3"/>
      <pageSetup paperSize="9" orientation="portrait" r:id="rId1"/>
    </customSheetView>
    <customSheetView guid="{7C37EEDC-D8AA-4F75-97FC-50D5DCC14924}" scale="145">
      <selection activeCell="H5" sqref="H5"/>
      <pageMargins left="0.7" right="0.7" top="0.75" bottom="0.75" header="0.3" footer="0.3"/>
      <pageSetup paperSize="9" orientation="portrait" r:id="rId2"/>
    </customSheetView>
  </customSheetView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7"/>
  <sheetViews>
    <sheetView zoomScale="115" zoomScaleNormal="115" workbookViewId="0">
      <selection activeCell="A27" sqref="A27:XFD27"/>
    </sheetView>
  </sheetViews>
  <sheetFormatPr defaultRowHeight="15" x14ac:dyDescent="0.25"/>
  <cols>
    <col min="1" max="1" width="27" customWidth="1"/>
  </cols>
  <sheetData>
    <row r="1" spans="1:6" ht="16.5" customHeight="1" thickBot="1" x14ac:dyDescent="0.3">
      <c r="A1" s="24"/>
      <c r="B1" s="24"/>
      <c r="C1" s="6" t="s">
        <v>232</v>
      </c>
      <c r="D1" s="24"/>
      <c r="E1" s="24"/>
      <c r="F1" s="24"/>
    </row>
    <row r="2" spans="1:6" ht="16.5" customHeight="1" thickBot="1" x14ac:dyDescent="0.3">
      <c r="A2" s="102"/>
      <c r="B2" s="204" t="s">
        <v>230</v>
      </c>
      <c r="C2" s="204"/>
      <c r="D2" s="204"/>
      <c r="E2" s="204"/>
      <c r="F2" s="204"/>
    </row>
    <row r="3" spans="1:6" ht="16.5" customHeight="1" thickBot="1" x14ac:dyDescent="0.3">
      <c r="A3" s="102"/>
      <c r="B3" s="204" t="s">
        <v>190</v>
      </c>
      <c r="C3" s="204"/>
      <c r="D3" s="204"/>
      <c r="E3" s="204"/>
      <c r="F3" s="204"/>
    </row>
    <row r="4" spans="1:6" ht="15.75" thickBot="1" x14ac:dyDescent="0.3">
      <c r="A4" s="25"/>
      <c r="B4" s="17">
        <v>43160</v>
      </c>
      <c r="C4" s="17">
        <v>42795</v>
      </c>
      <c r="D4" s="17">
        <v>42430</v>
      </c>
      <c r="E4" s="17">
        <v>42064</v>
      </c>
      <c r="F4" s="17">
        <v>41699</v>
      </c>
    </row>
    <row r="5" spans="1:6" ht="15.75" thickBot="1" x14ac:dyDescent="0.3">
      <c r="A5" s="7"/>
      <c r="B5" s="8">
        <v>12</v>
      </c>
      <c r="C5" s="8">
        <v>12</v>
      </c>
      <c r="D5" s="8">
        <v>12</v>
      </c>
      <c r="E5" s="8">
        <v>12</v>
      </c>
      <c r="F5" s="26"/>
    </row>
    <row r="6" spans="1:6" ht="15.75" thickBot="1" x14ac:dyDescent="0.3">
      <c r="A6" s="7" t="s">
        <v>142</v>
      </c>
      <c r="B6" s="26"/>
      <c r="C6" s="26"/>
      <c r="D6" s="26"/>
      <c r="E6" s="26"/>
      <c r="F6" s="26"/>
    </row>
    <row r="7" spans="1:6" ht="15.75" thickBot="1" x14ac:dyDescent="0.3">
      <c r="A7" s="4" t="s">
        <v>141</v>
      </c>
      <c r="B7" s="10">
        <v>8024.1360000000004</v>
      </c>
      <c r="C7" s="10">
        <v>6930.5959999999995</v>
      </c>
      <c r="D7" s="10">
        <v>6022.1450000000004</v>
      </c>
      <c r="E7" s="10">
        <v>4846.99</v>
      </c>
      <c r="F7" s="10">
        <v>4113.5529999999999</v>
      </c>
    </row>
    <row r="8" spans="1:6" ht="15.75" thickBot="1" x14ac:dyDescent="0.3">
      <c r="A8" s="4" t="s">
        <v>140</v>
      </c>
      <c r="B8" s="10">
        <v>1522.03</v>
      </c>
      <c r="C8" s="10">
        <v>1229.6500000000001</v>
      </c>
      <c r="D8" s="10">
        <v>1075.172</v>
      </c>
      <c r="E8" s="10">
        <v>899.63499999999999</v>
      </c>
      <c r="F8" s="10">
        <v>791.96400000000006</v>
      </c>
    </row>
    <row r="9" spans="1:6" ht="15.75" thickBot="1" x14ac:dyDescent="0.3">
      <c r="A9" s="7" t="s">
        <v>139</v>
      </c>
      <c r="B9" s="13">
        <v>9546.1659999999993</v>
      </c>
      <c r="C9" s="13">
        <v>8160.2460000000001</v>
      </c>
      <c r="D9" s="13">
        <v>7097.317</v>
      </c>
      <c r="E9" s="13">
        <v>5746.6260000000002</v>
      </c>
      <c r="F9" s="13">
        <v>4905.518</v>
      </c>
    </row>
    <row r="10" spans="1:6" ht="15.75" thickBot="1" x14ac:dyDescent="0.3">
      <c r="A10" s="7" t="s">
        <v>138</v>
      </c>
      <c r="B10" s="26"/>
      <c r="C10" s="26"/>
      <c r="D10" s="26"/>
      <c r="E10" s="26"/>
      <c r="F10" s="26"/>
    </row>
    <row r="11" spans="1:6" ht="15.75" thickBot="1" x14ac:dyDescent="0.3">
      <c r="A11" s="4" t="s">
        <v>37</v>
      </c>
      <c r="B11" s="10">
        <v>4014.6489999999999</v>
      </c>
      <c r="C11" s="10">
        <v>3616.6729999999998</v>
      </c>
      <c r="D11" s="10">
        <v>3262.9929999999999</v>
      </c>
      <c r="E11" s="10">
        <v>2607.424</v>
      </c>
      <c r="F11" s="10">
        <v>2265.29</v>
      </c>
    </row>
    <row r="12" spans="1:6" ht="15.75" customHeight="1" thickBot="1" x14ac:dyDescent="0.3">
      <c r="A12" s="4" t="s">
        <v>137</v>
      </c>
      <c r="B12" s="10">
        <v>2269.038</v>
      </c>
      <c r="C12" s="10">
        <v>1970.3340000000001</v>
      </c>
      <c r="D12" s="10">
        <v>1697.97</v>
      </c>
      <c r="E12" s="10">
        <v>1398.7539999999999</v>
      </c>
      <c r="F12" s="10">
        <v>1204.22</v>
      </c>
    </row>
    <row r="13" spans="1:6" ht="15.75" customHeight="1" thickBot="1" x14ac:dyDescent="0.3">
      <c r="A13" s="4" t="s">
        <v>136</v>
      </c>
      <c r="B13" s="10">
        <v>5927.49</v>
      </c>
      <c r="C13" s="10">
        <v>3593.31</v>
      </c>
      <c r="D13" s="10">
        <v>2725.61</v>
      </c>
      <c r="E13" s="10">
        <v>2075.0100000000002</v>
      </c>
      <c r="F13" s="10">
        <v>1587.27</v>
      </c>
    </row>
    <row r="14" spans="1:6" ht="15.75" customHeight="1" thickBot="1" x14ac:dyDescent="0.3">
      <c r="A14" s="4" t="s">
        <v>176</v>
      </c>
      <c r="B14" s="10">
        <v>2669.73</v>
      </c>
      <c r="C14" s="10">
        <v>2213.9070000000002</v>
      </c>
      <c r="D14" s="10">
        <v>1863.7919999999999</v>
      </c>
      <c r="E14" s="10">
        <v>1532.9469999999999</v>
      </c>
      <c r="F14" s="10">
        <v>1277.2809999999999</v>
      </c>
    </row>
    <row r="15" spans="1:6" ht="15.75" customHeight="1" thickBot="1" x14ac:dyDescent="0.3">
      <c r="A15" s="4" t="s">
        <v>135</v>
      </c>
      <c r="B15" s="10">
        <v>921.05700000000002</v>
      </c>
      <c r="C15" s="10">
        <v>758.94299999999998</v>
      </c>
      <c r="D15" s="10">
        <v>634.17100000000005</v>
      </c>
      <c r="E15" s="10">
        <v>511.35500000000002</v>
      </c>
      <c r="F15" s="10">
        <v>429.44299999999998</v>
      </c>
    </row>
    <row r="16" spans="1:6" ht="15.75" customHeight="1" thickBot="1" x14ac:dyDescent="0.3">
      <c r="A16" s="7" t="s">
        <v>134</v>
      </c>
      <c r="B16" s="13">
        <v>7797.4930000000004</v>
      </c>
      <c r="C16" s="13">
        <v>6705.2820000000002</v>
      </c>
      <c r="D16" s="13">
        <v>5867.6959999999999</v>
      </c>
      <c r="E16" s="13">
        <v>4725.0339999999997</v>
      </c>
      <c r="F16" s="13">
        <v>4057.68</v>
      </c>
    </row>
    <row r="17" spans="1:6" ht="15.75" customHeight="1" thickBot="1" x14ac:dyDescent="0.3">
      <c r="A17" s="7" t="s">
        <v>133</v>
      </c>
      <c r="B17" s="27"/>
      <c r="C17" s="27"/>
      <c r="D17" s="27"/>
      <c r="E17" s="27"/>
      <c r="F17" s="27"/>
    </row>
    <row r="18" spans="1:6" ht="15.75" customHeight="1" thickBot="1" x14ac:dyDescent="0.3">
      <c r="A18" s="4" t="s">
        <v>177</v>
      </c>
      <c r="B18" s="10">
        <v>1748.673</v>
      </c>
      <c r="C18" s="10">
        <v>1454.9639999999999</v>
      </c>
      <c r="D18" s="10">
        <v>1229.6210000000001</v>
      </c>
      <c r="E18" s="10">
        <v>1021.592</v>
      </c>
      <c r="F18" s="10">
        <v>847.83799999999997</v>
      </c>
    </row>
    <row r="19" spans="1:6" ht="15.75" customHeight="1" thickBot="1" x14ac:dyDescent="0.3">
      <c r="A19" s="4" t="s">
        <v>178</v>
      </c>
      <c r="B19" s="27"/>
      <c r="C19" s="27"/>
      <c r="D19" s="27"/>
      <c r="E19" s="27"/>
      <c r="F19" s="27"/>
    </row>
    <row r="20" spans="1:6" ht="15.75" customHeight="1" thickBot="1" x14ac:dyDescent="0.3">
      <c r="A20" s="4" t="s">
        <v>179</v>
      </c>
      <c r="B20" s="10">
        <v>3266.8939999999998</v>
      </c>
      <c r="C20" s="10">
        <v>2352.7689999999998</v>
      </c>
      <c r="D20" s="10">
        <v>1862.779</v>
      </c>
      <c r="E20" s="10">
        <v>1465.415</v>
      </c>
      <c r="F20" s="10">
        <v>1113.2180000000001</v>
      </c>
    </row>
    <row r="21" spans="1:6" ht="15.75" customHeight="1" thickBot="1" x14ac:dyDescent="0.3">
      <c r="A21" s="4" t="s">
        <v>191</v>
      </c>
      <c r="B21" s="27"/>
      <c r="C21" s="27"/>
      <c r="D21" s="27"/>
      <c r="E21" s="27"/>
      <c r="F21" s="27"/>
    </row>
    <row r="22" spans="1:6" ht="15.75" customHeight="1" thickBot="1" x14ac:dyDescent="0.3">
      <c r="A22" s="7" t="s">
        <v>180</v>
      </c>
      <c r="B22" s="13">
        <v>5015.567</v>
      </c>
      <c r="C22" s="13">
        <v>3807.7330000000002</v>
      </c>
      <c r="D22" s="13">
        <v>3092.4009999999998</v>
      </c>
      <c r="E22" s="13">
        <v>2487.0070000000001</v>
      </c>
      <c r="F22" s="13">
        <v>1961.056</v>
      </c>
    </row>
    <row r="23" spans="1:6" ht="15.75" customHeight="1" thickBot="1" x14ac:dyDescent="0.3">
      <c r="A23" s="4" t="s">
        <v>181</v>
      </c>
      <c r="B23" s="11">
        <v>650</v>
      </c>
      <c r="C23" s="11">
        <v>550</v>
      </c>
      <c r="D23" s="11">
        <v>475</v>
      </c>
      <c r="E23" s="11">
        <v>400</v>
      </c>
      <c r="F23" s="11">
        <v>342.5</v>
      </c>
    </row>
    <row r="24" spans="1:6" ht="15.75" customHeight="1" thickBot="1" x14ac:dyDescent="0.3">
      <c r="A24" s="4" t="s">
        <v>193</v>
      </c>
      <c r="B24" s="3">
        <v>67.38</v>
      </c>
      <c r="C24" s="3">
        <v>56.78</v>
      </c>
      <c r="D24" s="3">
        <v>48.64</v>
      </c>
      <c r="E24" s="3">
        <v>40.76</v>
      </c>
      <c r="F24" s="3">
        <v>35.340000000000003</v>
      </c>
    </row>
    <row r="25" spans="1:6" ht="15.75" customHeight="1" thickBot="1" x14ac:dyDescent="0.3">
      <c r="A25" s="4" t="s">
        <v>192</v>
      </c>
      <c r="B25" s="3">
        <v>67.38</v>
      </c>
      <c r="C25" s="3">
        <v>56.78</v>
      </c>
      <c r="D25" s="3">
        <v>48.64</v>
      </c>
      <c r="E25" s="3">
        <v>40.76</v>
      </c>
      <c r="F25" s="3">
        <v>35.340000000000003</v>
      </c>
    </row>
    <row r="27" spans="1:6" x14ac:dyDescent="0.25">
      <c r="A27" s="23" t="s">
        <v>203</v>
      </c>
    </row>
  </sheetData>
  <customSheetViews>
    <customSheetView guid="{9B3B61F6-A1A7-41F3-8F3A-A7753DA80303}">
      <selection activeCell="F3" sqref="F3"/>
      <pageMargins left="0.7" right="0.7" top="0.75" bottom="0.75" header="0.3" footer="0.3"/>
      <pageSetup paperSize="9" orientation="portrait" r:id="rId1"/>
    </customSheetView>
    <customSheetView guid="{7C37EEDC-D8AA-4F75-97FC-50D5DCC14924}" scale="115">
      <selection activeCell="I14" sqref="I14"/>
      <pageMargins left="0.7" right="0.7" top="0.75" bottom="0.75" header="0.3" footer="0.3"/>
      <pageSetup paperSize="9" orientation="portrait" r:id="rId2"/>
    </customSheetView>
  </customSheetViews>
  <mergeCells count="2">
    <mergeCell ref="B2:F2"/>
    <mergeCell ref="B3:F3"/>
  </mergeCells>
  <pageMargins left="0.7" right="0.7" top="0.75" bottom="0.75" header="0.3" footer="0.3"/>
  <pageSetup paperSize="9" orientation="portrait" r:id="rId3"/>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9"/>
  <sheetViews>
    <sheetView workbookViewId="0">
      <selection activeCell="A29" sqref="A29"/>
    </sheetView>
  </sheetViews>
  <sheetFormatPr defaultRowHeight="15" x14ac:dyDescent="0.25"/>
  <cols>
    <col min="1" max="1" width="26.7109375" customWidth="1"/>
    <col min="2" max="3" width="14" customWidth="1"/>
    <col min="4" max="4" width="16" customWidth="1"/>
    <col min="5" max="5" width="14" customWidth="1"/>
    <col min="6" max="6" width="13.28515625" customWidth="1"/>
  </cols>
  <sheetData>
    <row r="1" spans="1:6" ht="15.75" thickBot="1" x14ac:dyDescent="0.3">
      <c r="A1" s="205" t="s">
        <v>231</v>
      </c>
      <c r="B1" s="205"/>
      <c r="C1" s="205"/>
      <c r="D1" s="205"/>
      <c r="E1" s="205"/>
      <c r="F1" s="205"/>
    </row>
    <row r="2" spans="1:6" ht="15.75" thickBot="1" x14ac:dyDescent="0.3">
      <c r="A2" s="103"/>
      <c r="B2" s="18">
        <v>43160</v>
      </c>
      <c r="C2" s="18">
        <v>42795</v>
      </c>
      <c r="D2" s="18">
        <v>42430</v>
      </c>
      <c r="E2" s="18">
        <v>42064</v>
      </c>
      <c r="F2" s="18">
        <v>41699</v>
      </c>
    </row>
    <row r="3" spans="1:6" ht="15.75" thickBot="1" x14ac:dyDescent="0.3">
      <c r="A3" s="104" t="s">
        <v>194</v>
      </c>
      <c r="B3" s="29"/>
      <c r="C3" s="29"/>
      <c r="D3" s="29"/>
      <c r="E3" s="29"/>
      <c r="F3" s="29"/>
    </row>
    <row r="4" spans="1:6" ht="15.75" thickBot="1" x14ac:dyDescent="0.3">
      <c r="A4" s="105" t="s">
        <v>158</v>
      </c>
      <c r="B4" s="14">
        <v>51.902000000000001</v>
      </c>
      <c r="C4" s="14">
        <v>51.250999999999998</v>
      </c>
      <c r="D4" s="14">
        <v>50.564</v>
      </c>
      <c r="E4" s="14">
        <v>50.13</v>
      </c>
      <c r="F4" s="14">
        <v>47.981000000000002</v>
      </c>
    </row>
    <row r="5" spans="1:6" ht="26.25" thickBot="1" x14ac:dyDescent="0.3">
      <c r="A5" s="105" t="s">
        <v>171</v>
      </c>
      <c r="B5" s="9">
        <v>0</v>
      </c>
      <c r="C5" s="9">
        <v>0</v>
      </c>
      <c r="D5" s="9">
        <v>0</v>
      </c>
      <c r="E5" s="9">
        <v>0</v>
      </c>
      <c r="F5" s="9">
        <v>0</v>
      </c>
    </row>
    <row r="6" spans="1:6" ht="15.75" thickBot="1" x14ac:dyDescent="0.3">
      <c r="A6" s="105" t="s">
        <v>157</v>
      </c>
      <c r="B6" s="15">
        <v>10577.598</v>
      </c>
      <c r="C6" s="15">
        <v>8894.9830000000002</v>
      </c>
      <c r="D6" s="15">
        <v>7217.2129999999997</v>
      </c>
      <c r="E6" s="15">
        <v>6150.8119999999999</v>
      </c>
      <c r="F6" s="15">
        <v>4299.8819999999996</v>
      </c>
    </row>
    <row r="7" spans="1:6" ht="15.75" thickBot="1" x14ac:dyDescent="0.3">
      <c r="A7" s="105" t="s">
        <v>156</v>
      </c>
      <c r="B7" s="15">
        <v>78877.063999999998</v>
      </c>
      <c r="C7" s="15">
        <v>64363.966</v>
      </c>
      <c r="D7" s="15">
        <v>54642.419000000002</v>
      </c>
      <c r="E7" s="15">
        <v>45079.563999999998</v>
      </c>
      <c r="F7" s="15">
        <v>36733.748</v>
      </c>
    </row>
    <row r="8" spans="1:6" ht="15.75" thickBot="1" x14ac:dyDescent="0.3">
      <c r="A8" s="105" t="s">
        <v>155</v>
      </c>
      <c r="B8" s="15">
        <v>12310.496999999999</v>
      </c>
      <c r="C8" s="15">
        <v>7402.8869999999997</v>
      </c>
      <c r="D8" s="15">
        <v>8496.8979999999992</v>
      </c>
      <c r="E8" s="15">
        <v>4521.3559999999998</v>
      </c>
      <c r="F8" s="15">
        <v>3943.8989999999999</v>
      </c>
    </row>
    <row r="9" spans="1:6" ht="15.75" customHeight="1" thickBot="1" x14ac:dyDescent="0.3">
      <c r="A9" s="105" t="s">
        <v>169</v>
      </c>
      <c r="B9" s="15">
        <v>4576.3720000000003</v>
      </c>
      <c r="C9" s="15">
        <v>5670.9319999999998</v>
      </c>
      <c r="D9" s="15">
        <v>3672.5129999999999</v>
      </c>
      <c r="E9" s="15">
        <v>3248.4459999999999</v>
      </c>
      <c r="F9" s="15">
        <v>4134.4399999999996</v>
      </c>
    </row>
    <row r="10" spans="1:6" ht="15.75" thickBot="1" x14ac:dyDescent="0.3">
      <c r="A10" s="104" t="s">
        <v>154</v>
      </c>
      <c r="B10" s="16">
        <v>106393.432</v>
      </c>
      <c r="C10" s="16">
        <v>86384.019</v>
      </c>
      <c r="D10" s="16">
        <v>74079.607000000004</v>
      </c>
      <c r="E10" s="16">
        <v>59050.307000000001</v>
      </c>
      <c r="F10" s="16">
        <v>49159.95</v>
      </c>
    </row>
    <row r="11" spans="1:6" ht="15.75" thickBot="1" x14ac:dyDescent="0.3">
      <c r="A11" s="104" t="s">
        <v>195</v>
      </c>
      <c r="B11" s="30"/>
      <c r="C11" s="30"/>
      <c r="D11" s="30"/>
      <c r="E11" s="30"/>
      <c r="F11" s="30"/>
    </row>
    <row r="12" spans="1:6" ht="26.25" thickBot="1" x14ac:dyDescent="0.3">
      <c r="A12" s="105" t="s">
        <v>173</v>
      </c>
      <c r="B12" s="15">
        <v>10467.047</v>
      </c>
      <c r="C12" s="15">
        <v>3789.6880000000001</v>
      </c>
      <c r="D12" s="15">
        <v>3005.8310000000001</v>
      </c>
      <c r="E12" s="15">
        <v>2751.0450000000001</v>
      </c>
      <c r="F12" s="15">
        <v>2534.5630000000001</v>
      </c>
    </row>
    <row r="13" spans="1:6" ht="26.25" thickBot="1" x14ac:dyDescent="0.3">
      <c r="A13" s="105" t="s">
        <v>174</v>
      </c>
      <c r="B13" s="15">
        <v>1824.461</v>
      </c>
      <c r="C13" s="15">
        <v>1105.5219999999999</v>
      </c>
      <c r="D13" s="15">
        <v>886.053</v>
      </c>
      <c r="E13" s="15">
        <v>882.1</v>
      </c>
      <c r="F13" s="15">
        <v>1423.8009999999999</v>
      </c>
    </row>
    <row r="14" spans="1:6" ht="15.75" thickBot="1" x14ac:dyDescent="0.3">
      <c r="A14" s="105" t="s">
        <v>153</v>
      </c>
      <c r="B14" s="15">
        <v>24220.024000000001</v>
      </c>
      <c r="C14" s="15">
        <v>21446.333999999999</v>
      </c>
      <c r="D14" s="15">
        <v>19583.628000000001</v>
      </c>
      <c r="E14" s="15">
        <v>15164.174999999999</v>
      </c>
      <c r="F14" s="15">
        <v>12095.107</v>
      </c>
    </row>
    <row r="15" spans="1:6" ht="15.75" thickBot="1" x14ac:dyDescent="0.3">
      <c r="A15" s="105" t="s">
        <v>119</v>
      </c>
      <c r="B15" s="15">
        <v>65833.308999999994</v>
      </c>
      <c r="C15" s="15">
        <v>55456.82</v>
      </c>
      <c r="D15" s="15">
        <v>46459.396000000001</v>
      </c>
      <c r="E15" s="15">
        <v>36549.502999999997</v>
      </c>
      <c r="F15" s="15">
        <v>30300.026999999998</v>
      </c>
    </row>
    <row r="16" spans="1:6" ht="15.75" thickBot="1" x14ac:dyDescent="0.3">
      <c r="A16" s="105" t="s">
        <v>175</v>
      </c>
      <c r="B16" s="15">
        <v>1093.258</v>
      </c>
      <c r="C16" s="15">
        <v>1015.766</v>
      </c>
      <c r="D16" s="15">
        <v>925.26199999999994</v>
      </c>
      <c r="E16" s="15">
        <v>846.33</v>
      </c>
      <c r="F16" s="15">
        <v>770.58199999999999</v>
      </c>
    </row>
    <row r="17" spans="1:6" ht="26.25" thickBot="1" x14ac:dyDescent="0.3">
      <c r="A17" s="105" t="s">
        <v>152</v>
      </c>
      <c r="B17" s="15">
        <v>728.11300000000006</v>
      </c>
      <c r="C17" s="15">
        <v>648.66800000000001</v>
      </c>
      <c r="D17" s="15">
        <v>586.52200000000005</v>
      </c>
      <c r="E17" s="15">
        <v>529.73199999999997</v>
      </c>
      <c r="F17" s="15">
        <v>472.16500000000002</v>
      </c>
    </row>
    <row r="18" spans="1:6" ht="15.75" thickBot="1" x14ac:dyDescent="0.3">
      <c r="A18" s="105" t="s">
        <v>151</v>
      </c>
      <c r="B18" s="30"/>
      <c r="C18" s="30"/>
      <c r="D18" s="30"/>
      <c r="E18" s="30"/>
      <c r="F18" s="30"/>
    </row>
    <row r="19" spans="1:6" ht="15.75" thickBot="1" x14ac:dyDescent="0.3">
      <c r="A19" s="105" t="s">
        <v>150</v>
      </c>
      <c r="B19" s="15">
        <v>365.14499999999998</v>
      </c>
      <c r="C19" s="15">
        <v>367.09800000000001</v>
      </c>
      <c r="D19" s="15">
        <v>338.74</v>
      </c>
      <c r="E19" s="15">
        <v>316.59800000000001</v>
      </c>
      <c r="F19" s="15" t="s">
        <v>149</v>
      </c>
    </row>
    <row r="20" spans="1:6" ht="15.75" thickBot="1" x14ac:dyDescent="0.3">
      <c r="A20" s="105" t="s">
        <v>148</v>
      </c>
      <c r="B20" s="177">
        <v>-4.4249999999999998</v>
      </c>
      <c r="C20" s="177">
        <v>-4.4249999999999998</v>
      </c>
      <c r="D20" s="177">
        <v>-4.4249999999999998</v>
      </c>
      <c r="E20" s="177">
        <v>-4.4249999999999998</v>
      </c>
      <c r="F20" s="177">
        <v>-4.4249999999999998</v>
      </c>
    </row>
    <row r="21" spans="1:6" ht="15.75" thickBot="1" x14ac:dyDescent="0.3">
      <c r="A21" s="105" t="s">
        <v>147</v>
      </c>
      <c r="B21" s="30"/>
      <c r="C21" s="30"/>
      <c r="D21" s="30"/>
      <c r="E21" s="30"/>
      <c r="F21" s="30"/>
    </row>
    <row r="22" spans="1:6" ht="15.75" thickBot="1" x14ac:dyDescent="0.3">
      <c r="A22" s="105" t="s">
        <v>146</v>
      </c>
      <c r="B22" s="15">
        <v>3687.87</v>
      </c>
      <c r="C22" s="15">
        <v>4222.982</v>
      </c>
      <c r="D22" s="15">
        <v>3810.384</v>
      </c>
      <c r="E22" s="15">
        <v>3391.31</v>
      </c>
      <c r="F22" s="15">
        <v>2512.46</v>
      </c>
    </row>
    <row r="23" spans="1:6" ht="15.75" thickBot="1" x14ac:dyDescent="0.3">
      <c r="A23" s="104" t="s">
        <v>35</v>
      </c>
      <c r="B23" s="16">
        <v>106393.432</v>
      </c>
      <c r="C23" s="16">
        <v>86384.019</v>
      </c>
      <c r="D23" s="16">
        <v>74079.607000000004</v>
      </c>
      <c r="E23" s="16">
        <v>59050.307000000001</v>
      </c>
      <c r="F23" s="16">
        <v>49159.95</v>
      </c>
    </row>
    <row r="24" spans="1:6" ht="15.75" thickBot="1" x14ac:dyDescent="0.3">
      <c r="A24" s="105" t="s">
        <v>145</v>
      </c>
      <c r="B24" s="15">
        <v>87548.823000000004</v>
      </c>
      <c r="C24" s="15">
        <v>81786.959000000003</v>
      </c>
      <c r="D24" s="15">
        <v>85331.811000000002</v>
      </c>
      <c r="E24" s="15">
        <v>97523.395000000004</v>
      </c>
      <c r="F24" s="15">
        <v>72315.490999999995</v>
      </c>
    </row>
    <row r="25" spans="1:6" ht="15.75" thickBot="1" x14ac:dyDescent="0.3">
      <c r="A25" s="105" t="s">
        <v>172</v>
      </c>
      <c r="B25" s="15">
        <v>4275.3829999999998</v>
      </c>
      <c r="C25" s="15">
        <v>3084.8040000000001</v>
      </c>
      <c r="D25" s="15">
        <v>2349</v>
      </c>
      <c r="E25" s="15">
        <v>2230.4929999999999</v>
      </c>
      <c r="F25" s="15">
        <v>2094.306</v>
      </c>
    </row>
    <row r="26" spans="1:6" ht="15.75" thickBot="1" x14ac:dyDescent="0.3">
      <c r="A26" s="105" t="s">
        <v>144</v>
      </c>
      <c r="B26" s="15">
        <v>40.96</v>
      </c>
      <c r="C26" s="15">
        <v>34.911999999999999</v>
      </c>
      <c r="D26" s="15">
        <v>28.747</v>
      </c>
      <c r="E26" s="15">
        <v>24.739000000000001</v>
      </c>
      <c r="F26" s="15">
        <v>18.123000000000001</v>
      </c>
    </row>
    <row r="27" spans="1:6" ht="15.75" thickBot="1" x14ac:dyDescent="0.3">
      <c r="A27" s="105" t="s">
        <v>143</v>
      </c>
      <c r="B27" s="15">
        <v>40.96</v>
      </c>
      <c r="C27" s="15">
        <v>34.911999999999999</v>
      </c>
      <c r="D27" s="15">
        <v>28.747</v>
      </c>
      <c r="E27" s="15">
        <v>24.739000000000001</v>
      </c>
      <c r="F27" s="15">
        <v>18.123000000000001</v>
      </c>
    </row>
    <row r="29" spans="1:6" x14ac:dyDescent="0.25">
      <c r="A29" s="23" t="s">
        <v>203</v>
      </c>
    </row>
  </sheetData>
  <customSheetViews>
    <customSheetView guid="{9B3B61F6-A1A7-41F3-8F3A-A7753DA80303}">
      <selection activeCell="G14" sqref="G14"/>
      <pageMargins left="0.7" right="0.7" top="0.75" bottom="0.75" header="0.3" footer="0.3"/>
      <pageSetup paperSize="9" orientation="portrait" r:id="rId1"/>
    </customSheetView>
    <customSheetView guid="{7C37EEDC-D8AA-4F75-97FC-50D5DCC14924}">
      <selection activeCell="K12" sqref="K12"/>
      <pageMargins left="0.7" right="0.7" top="0.75" bottom="0.75" header="0.3" footer="0.3"/>
      <pageSetup paperSize="9" orientation="portrait" r:id="rId2"/>
    </customSheetView>
  </customSheetViews>
  <mergeCells count="1">
    <mergeCell ref="A1:F1"/>
  </mergeCells>
  <pageMargins left="0.7" right="0.7" top="0.75" bottom="0.75" header="0.3" footer="0.3"/>
  <pageSetup paperSize="9" orientation="portrait"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7"/>
  <sheetViews>
    <sheetView workbookViewId="0">
      <selection activeCell="A7" sqref="A7:XFD7"/>
    </sheetView>
  </sheetViews>
  <sheetFormatPr defaultRowHeight="14.25" x14ac:dyDescent="0.2"/>
  <cols>
    <col min="1" max="1" width="36.85546875" style="24" customWidth="1"/>
    <col min="2" max="2" width="7.28515625" style="24" bestFit="1" customWidth="1"/>
    <col min="3" max="16384" width="9.140625" style="24"/>
  </cols>
  <sheetData>
    <row r="1" spans="1:2" ht="15.75" thickBot="1" x14ac:dyDescent="0.3">
      <c r="A1" s="31" t="s">
        <v>200</v>
      </c>
    </row>
    <row r="2" spans="1:2" ht="15" thickBot="1" x14ac:dyDescent="0.25">
      <c r="A2" s="32"/>
      <c r="B2" s="33">
        <v>2019</v>
      </c>
    </row>
    <row r="3" spans="1:2" ht="15" customHeight="1" thickBot="1" x14ac:dyDescent="0.25">
      <c r="A3" s="34" t="s">
        <v>199</v>
      </c>
      <c r="B3" s="35">
        <v>0.76739999999999997</v>
      </c>
    </row>
    <row r="4" spans="1:2" ht="15" thickBot="1" x14ac:dyDescent="0.25">
      <c r="A4" s="34" t="s">
        <v>201</v>
      </c>
      <c r="B4" s="35">
        <v>0.16450000000000001</v>
      </c>
    </row>
    <row r="5" spans="1:2" ht="15" thickBot="1" x14ac:dyDescent="0.25">
      <c r="A5" s="34" t="s">
        <v>202</v>
      </c>
      <c r="B5" s="36">
        <v>0.12620000000000001</v>
      </c>
    </row>
    <row r="7" spans="1:2" s="181" customFormat="1" ht="11.25" x14ac:dyDescent="0.2">
      <c r="A7" s="180" t="s">
        <v>241</v>
      </c>
    </row>
  </sheetData>
  <customSheetViews>
    <customSheetView guid="{9B3B61F6-A1A7-41F3-8F3A-A7753DA80303}">
      <selection activeCell="D10" sqref="D10"/>
      <pageMargins left="0.7" right="0.7" top="0.75" bottom="0.75" header="0.3" footer="0.3"/>
      <pageSetup paperSize="9" orientation="portrait" r:id="rId1"/>
      <headerFooter>
        <oddHeader>&amp;L&amp;"Calibri"&amp;10&amp;K000000Signify Classified - Internal&amp;1#</oddHeader>
      </headerFooter>
    </customSheetView>
    <customSheetView guid="{7C37EEDC-D8AA-4F75-97FC-50D5DCC14924}">
      <pageMargins left="0.7" right="0.7" top="0.75" bottom="0.75" header="0.3" footer="0.3"/>
      <pageSetup paperSize="9" orientation="portrait" r:id="rId2"/>
      <headerFooter>
        <oddHeader>&amp;L&amp;"Calibri"&amp;10&amp;K000000Signify Classified - Internal&amp;1#</oddHeader>
      </headerFooter>
    </customSheetView>
  </customSheetViews>
  <pageMargins left="0.7" right="0.7" top="0.75" bottom="0.75" header="0.3" footer="0.3"/>
  <pageSetup paperSize="9" orientation="portrait" r:id="rId3"/>
  <headerFooter>
    <oddHeader>&amp;L&amp;"Calibri"&amp;10&amp;K000000Signify Classified - Internal&amp;1#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Copyright</vt:lpstr>
      <vt:lpstr>Main</vt:lpstr>
      <vt:lpstr>HDFC</vt:lpstr>
      <vt:lpstr>Yes</vt:lpstr>
      <vt:lpstr>ICICI</vt:lpstr>
      <vt:lpstr>Axis Bank</vt:lpstr>
      <vt:lpstr>SBI</vt:lpstr>
      <vt:lpstr>Ratio Analysis</vt:lpstr>
      <vt:lpstr>DCF Valuation</vt:lpstr>
      <vt:lpstr>Workings </vt:lpstr>
      <vt:lpstr>Exhibit 8</vt:lpstr>
      <vt:lpstr>Exhibit 9</vt:lpstr>
      <vt:lpstr>Exhibit 10</vt:lpstr>
      <vt:lpstr>Exhibit TN-2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library</dc:creator>
  <cp:lastModifiedBy>Alex Bojmelgrin</cp:lastModifiedBy>
  <dcterms:created xsi:type="dcterms:W3CDTF">2018-09-29T06:42:08Z</dcterms:created>
  <dcterms:modified xsi:type="dcterms:W3CDTF">2020-03-02T19:15:02Z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ef8eab-07d6-4849-8b43-f2fe9ec60b55_Enabled">
    <vt:lpwstr>True</vt:lpwstr>
  </property>
  <property fmtid="{D5CDD505-2E9C-101B-9397-08002B2CF9AE}" pid="3" name="MSIP_Label_7def8eab-07d6-4849-8b43-f2fe9ec60b55_SiteId">
    <vt:lpwstr>75b2f54b-feff-400d-8e0b-67102edb9a23</vt:lpwstr>
  </property>
  <property fmtid="{D5CDD505-2E9C-101B-9397-08002B2CF9AE}" pid="4" name="MSIP_Label_7def8eab-07d6-4849-8b43-f2fe9ec60b55_Owner">
    <vt:lpwstr>naman.taneja@signify.com</vt:lpwstr>
  </property>
  <property fmtid="{D5CDD505-2E9C-101B-9397-08002B2CF9AE}" pid="5" name="MSIP_Label_7def8eab-07d6-4849-8b43-f2fe9ec60b55_SetDate">
    <vt:lpwstr>2019-07-30T05:46:57.2466056Z</vt:lpwstr>
  </property>
  <property fmtid="{D5CDD505-2E9C-101B-9397-08002B2CF9AE}" pid="6" name="MSIP_Label_7def8eab-07d6-4849-8b43-f2fe9ec60b55_Name">
    <vt:lpwstr>Signify - Internal</vt:lpwstr>
  </property>
  <property fmtid="{D5CDD505-2E9C-101B-9397-08002B2CF9AE}" pid="7" name="MSIP_Label_7def8eab-07d6-4849-8b43-f2fe9ec60b55_Application">
    <vt:lpwstr>Microsoft Azure Information Protection</vt:lpwstr>
  </property>
  <property fmtid="{D5CDD505-2E9C-101B-9397-08002B2CF9AE}" pid="8" name="MSIP_Label_7def8eab-07d6-4849-8b43-f2fe9ec60b55_ActionId">
    <vt:lpwstr>7c773698-216e-42f4-b42c-98ce9ac56c23</vt:lpwstr>
  </property>
  <property fmtid="{D5CDD505-2E9C-101B-9397-08002B2CF9AE}" pid="9" name="MSIP_Label_7def8eab-07d6-4849-8b43-f2fe9ec60b55_Extended_MSFT_Method">
    <vt:lpwstr>Automatic</vt:lpwstr>
  </property>
  <property fmtid="{D5CDD505-2E9C-101B-9397-08002B2CF9AE}" pid="10" name="Sensitivity">
    <vt:lpwstr>Signify - Internal</vt:lpwstr>
  </property>
</Properties>
</file>