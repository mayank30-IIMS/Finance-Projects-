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ba9c93c0a4f770/Desktop/Corporate Finance/"/>
    </mc:Choice>
  </mc:AlternateContent>
  <xr:revisionPtr revIDLastSave="180" documentId="8_{A3936741-68C9-476F-AD80-70B8C46ED6E7}" xr6:coauthVersionLast="47" xr6:coauthVersionMax="47" xr10:uidLastSave="{D2D5B5CB-F54A-4C7E-AA21-BB4C83807911}"/>
  <bookViews>
    <workbookView xWindow="-98" yWindow="-98" windowWidth="19396" windowHeight="11475" xr2:uid="{89E803E0-F806-4F6F-B293-911E8ED8149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8" i="1" l="1"/>
  <c r="AI29" i="1"/>
  <c r="AI28" i="1"/>
  <c r="AL13" i="1"/>
  <c r="AP17" i="1"/>
  <c r="AM17" i="1" s="1"/>
  <c r="AP18" i="1"/>
  <c r="AN18" i="1" s="1"/>
  <c r="AM18" i="1" s="1"/>
  <c r="AP19" i="1"/>
  <c r="AN19" i="1" s="1"/>
  <c r="AM19" i="1" s="1"/>
  <c r="AP20" i="1"/>
  <c r="AN20" i="1" s="1"/>
  <c r="AM20" i="1" s="1"/>
  <c r="AP21" i="1"/>
  <c r="AN21" i="1" s="1"/>
  <c r="AP22" i="1"/>
  <c r="AN22" i="1" s="1"/>
  <c r="AM22" i="1" s="1"/>
  <c r="AP16" i="1"/>
  <c r="AM16" i="1" s="1"/>
  <c r="AL17" i="1"/>
  <c r="AL16" i="1"/>
  <c r="AK18" i="1"/>
  <c r="AL18" i="1" s="1"/>
  <c r="AK19" i="1"/>
  <c r="AL19" i="1" s="1"/>
  <c r="AK20" i="1"/>
  <c r="AL20" i="1" s="1"/>
  <c r="AK21" i="1"/>
  <c r="AL21" i="1" s="1"/>
  <c r="AK22" i="1"/>
  <c r="AL22" i="1" s="1"/>
  <c r="AK17" i="1"/>
  <c r="AM21" i="1" l="1"/>
  <c r="AJ33" i="1"/>
  <c r="AE33" i="1" l="1"/>
  <c r="AD33" i="1"/>
  <c r="AC33" i="1"/>
  <c r="AA33" i="1"/>
  <c r="Z33" i="1"/>
  <c r="Y33" i="1"/>
  <c r="AE32" i="1"/>
  <c r="AD32" i="1"/>
  <c r="AC32" i="1"/>
  <c r="AA32" i="1"/>
  <c r="Z32" i="1"/>
  <c r="Y32" i="1"/>
  <c r="AE31" i="1"/>
  <c r="AD31" i="1"/>
  <c r="AC31" i="1"/>
  <c r="AA31" i="1"/>
  <c r="Z31" i="1"/>
  <c r="Y31" i="1"/>
  <c r="AE30" i="1"/>
  <c r="AD30" i="1"/>
  <c r="AC30" i="1"/>
  <c r="AA30" i="1"/>
  <c r="Z30" i="1"/>
  <c r="Y30" i="1"/>
  <c r="AE29" i="1"/>
  <c r="AD29" i="1"/>
  <c r="AC29" i="1"/>
  <c r="AA29" i="1"/>
  <c r="Z29" i="1"/>
  <c r="Y29" i="1"/>
  <c r="AE26" i="1"/>
  <c r="AD26" i="1"/>
  <c r="AC26" i="1"/>
  <c r="AA26" i="1"/>
  <c r="Z26" i="1"/>
  <c r="Y26" i="1"/>
  <c r="Y13" i="1" l="1"/>
  <c r="Y11" i="1"/>
  <c r="AA9" i="1"/>
  <c r="Z8" i="1"/>
  <c r="Z13" i="1" s="1"/>
  <c r="AA4" i="1"/>
  <c r="AA5" i="1" s="1"/>
  <c r="AA2" i="1"/>
  <c r="Z2" i="1"/>
  <c r="AA8" i="1" l="1"/>
  <c r="AA13" i="1" s="1"/>
  <c r="Z10" i="1"/>
  <c r="Z11" i="1" s="1"/>
  <c r="AA10" i="1"/>
  <c r="AA11" i="1" s="1"/>
  <c r="N39" i="1" l="1"/>
  <c r="O46" i="1"/>
  <c r="N44" i="1"/>
  <c r="O35" i="1"/>
  <c r="Q35" i="1"/>
  <c r="O12" i="1"/>
  <c r="O14" i="1" s="1"/>
  <c r="O15" i="1" s="1"/>
  <c r="N16" i="1"/>
  <c r="N17" i="1" s="1"/>
  <c r="N19" i="1" s="1"/>
  <c r="B51" i="1"/>
  <c r="B49" i="1"/>
  <c r="I33" i="1"/>
  <c r="H33" i="1"/>
  <c r="G33" i="1"/>
  <c r="I30" i="1"/>
  <c r="H30" i="1"/>
  <c r="G30" i="1"/>
  <c r="E33" i="1"/>
  <c r="D33" i="1"/>
  <c r="C33" i="1"/>
  <c r="E30" i="1"/>
  <c r="D30" i="1"/>
  <c r="C30" i="1"/>
  <c r="D25" i="1"/>
  <c r="I36" i="1" s="1"/>
  <c r="C25" i="1"/>
  <c r="D36" i="1" s="1"/>
  <c r="O36" i="1" l="1"/>
  <c r="N46" i="1"/>
  <c r="N47" i="1" s="1"/>
  <c r="O16" i="1"/>
  <c r="O17" i="1" s="1"/>
  <c r="O19" i="1" s="1"/>
  <c r="O13" i="1"/>
  <c r="N22" i="1" s="1"/>
  <c r="C42" i="1"/>
  <c r="G42" i="1"/>
  <c r="C36" i="1"/>
  <c r="E36" i="1"/>
  <c r="G36" i="1"/>
  <c r="H36" i="1"/>
</calcChain>
</file>

<file path=xl/sharedStrings.xml><?xml version="1.0" encoding="utf-8"?>
<sst xmlns="http://schemas.openxmlformats.org/spreadsheetml/2006/main" count="147" uniqueCount="115">
  <si>
    <t>Value of levered firm = value of unlevered firm (for the world without taxes)</t>
  </si>
  <si>
    <t>Rs = Ro + (B/S)(Ro-Rb)</t>
  </si>
  <si>
    <t>Rs = cost of equity</t>
  </si>
  <si>
    <t>Ro = cost of capital</t>
  </si>
  <si>
    <t>B = Debt Amount</t>
  </si>
  <si>
    <t>S = Equity Amount</t>
  </si>
  <si>
    <t>Rb = Cost of Debt (Interest Rate)</t>
  </si>
  <si>
    <t>Capital structure = Debt + Equity</t>
  </si>
  <si>
    <t>Cost of equity increases with debt</t>
  </si>
  <si>
    <t>Asset</t>
  </si>
  <si>
    <t>Debt</t>
  </si>
  <si>
    <t>Equity</t>
  </si>
  <si>
    <t>Interest</t>
  </si>
  <si>
    <t>MPS</t>
  </si>
  <si>
    <t>Outstanding shares</t>
  </si>
  <si>
    <t>Current</t>
  </si>
  <si>
    <t>Proposed</t>
  </si>
  <si>
    <t>EBIT</t>
  </si>
  <si>
    <t>Expected</t>
  </si>
  <si>
    <t>Boom</t>
  </si>
  <si>
    <t>Recession</t>
  </si>
  <si>
    <t>Solution</t>
  </si>
  <si>
    <t>ROA</t>
  </si>
  <si>
    <t>(Net income/Asset)</t>
  </si>
  <si>
    <t>ROE</t>
  </si>
  <si>
    <t>(PAT/Equity)</t>
  </si>
  <si>
    <t>EPS</t>
  </si>
  <si>
    <t>(PAT/Outstanding shares)</t>
  </si>
  <si>
    <t>Let EBIT = 800</t>
  </si>
  <si>
    <t>So ideal EBIT is 800 beyond which taking debt will be benefitial</t>
  </si>
  <si>
    <t xml:space="preserve">Proposition 1 </t>
  </si>
  <si>
    <t>Proposition 2</t>
  </si>
  <si>
    <t>Cost of equity will increase with debt</t>
  </si>
  <si>
    <t>World without tax</t>
  </si>
  <si>
    <t>World With Tax</t>
  </si>
  <si>
    <t>Value of Levered firm &gt; Value of unlevered firm</t>
  </si>
  <si>
    <t xml:space="preserve">Value of levered firm = value of unlevered firm + Tax benefits </t>
  </si>
  <si>
    <t>Value of levered firm =  EBIT (1-tax rate)</t>
  </si>
  <si>
    <t>Ro</t>
  </si>
  <si>
    <t>Interest rate*Tax rate*Debt</t>
  </si>
  <si>
    <t xml:space="preserve">Interest rate </t>
  </si>
  <si>
    <t>+</t>
  </si>
  <si>
    <t>EBT</t>
  </si>
  <si>
    <t>Tax @ 20%</t>
  </si>
  <si>
    <t>PAT</t>
  </si>
  <si>
    <t>Value of firm</t>
  </si>
  <si>
    <t>Tax benefit =</t>
  </si>
  <si>
    <t>Interest rate * debt * tax rate</t>
  </si>
  <si>
    <t>Example</t>
  </si>
  <si>
    <t>Unlevered firm</t>
  </si>
  <si>
    <t>Tax rate = 21%</t>
  </si>
  <si>
    <t>Cost of equity = 20%</t>
  </si>
  <si>
    <t>Debt = 200</t>
  </si>
  <si>
    <t>Interest rate = 10%</t>
  </si>
  <si>
    <t xml:space="preserve">Value of levered firm =  </t>
  </si>
  <si>
    <t>Expected = 126.6</t>
  </si>
  <si>
    <t>=</t>
  </si>
  <si>
    <t>Value of levered firm ? Cost of capital (WACC) ?</t>
  </si>
  <si>
    <t xml:space="preserve">Equity = </t>
  </si>
  <si>
    <t>WACC =</t>
  </si>
  <si>
    <t>Cost of Equity</t>
  </si>
  <si>
    <t>Rs =</t>
  </si>
  <si>
    <t>Cost of capital = Rs*S/(S+B) + Rb*B*(1-tax rate)/(S+B)</t>
  </si>
  <si>
    <t>WACC (before debt) = 20%</t>
  </si>
  <si>
    <t>WACC (after debt) = 18.45%</t>
  </si>
  <si>
    <t>Value of levered firm = EBIT*(1-tax rate)/WACC</t>
  </si>
  <si>
    <t>Current scenerio</t>
  </si>
  <si>
    <t>Stock Split (2:1)</t>
  </si>
  <si>
    <t>Bonus (1:20)</t>
  </si>
  <si>
    <t>Share capital (Rs 100 x 2 crore)</t>
  </si>
  <si>
    <t>Share premium</t>
  </si>
  <si>
    <t>Reserves and surplus</t>
  </si>
  <si>
    <t>Net worth</t>
  </si>
  <si>
    <t>N</t>
  </si>
  <si>
    <t>DPS</t>
  </si>
  <si>
    <t>Payout Ratio</t>
  </si>
  <si>
    <t>Profit after tax (Net income)</t>
  </si>
  <si>
    <t>Q1</t>
  </si>
  <si>
    <t>Company 1</t>
  </si>
  <si>
    <t>Company 2</t>
  </si>
  <si>
    <t>Year</t>
  </si>
  <si>
    <t>Market price</t>
  </si>
  <si>
    <t>Market Price</t>
  </si>
  <si>
    <t>Average</t>
  </si>
  <si>
    <t>Earning yield</t>
  </si>
  <si>
    <t>Dividend Yield</t>
  </si>
  <si>
    <t>Investors discounted the shares of Zicco Limited at higher rate because of the volatility in the share price.</t>
  </si>
  <si>
    <t>Constant payout can be followed as done by Ban Limited.</t>
  </si>
  <si>
    <t>Q2</t>
  </si>
  <si>
    <t>million</t>
  </si>
  <si>
    <t>Tax rate</t>
  </si>
  <si>
    <t>Beta</t>
  </si>
  <si>
    <t>Rf</t>
  </si>
  <si>
    <t>Interest rate</t>
  </si>
  <si>
    <t>Bankruptcy cost</t>
  </si>
  <si>
    <t>Ke =</t>
  </si>
  <si>
    <t>Rf + B(Rm-Rf)</t>
  </si>
  <si>
    <t>Debt value</t>
  </si>
  <si>
    <t>Marginal increase in debt</t>
  </si>
  <si>
    <t>Tax benefit</t>
  </si>
  <si>
    <t>Marginal financial distress</t>
  </si>
  <si>
    <t>Cumulative financial distress</t>
  </si>
  <si>
    <t>Prob of failure</t>
  </si>
  <si>
    <t>Amount</t>
  </si>
  <si>
    <t xml:space="preserve">Debt value </t>
  </si>
  <si>
    <t>Kd</t>
  </si>
  <si>
    <t>WACC</t>
  </si>
  <si>
    <t>Value of levered firm = value of unlevered firm + Tax benefits - Bankruptcy cost</t>
  </si>
  <si>
    <t>Q3</t>
  </si>
  <si>
    <t>Damodaran case</t>
  </si>
  <si>
    <t>Free Cash Flow to Equity (FCFE) = Net Income - (Capital expenditure - depretiation) - (Change in non cash working capital) + (New debt issued - Repayments)</t>
  </si>
  <si>
    <t>Free Cash Flow to Equity = Net Income - (Capital Expenditures - Depreciation)(1 - d) - (D Working Capital)(1-d)</t>
  </si>
  <si>
    <t>Cash to Stockholders to FCFE Ratio =</t>
  </si>
  <si>
    <t>FCFE</t>
  </si>
  <si>
    <t>Dividends + Equity Repurchases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</si>
</sst>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9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1" applyNumberFormat="1" applyFont="1"/>
    <xf numFmtId="0" fontId="0" fillId="0" borderId="3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right"/>
    </xf>
    <xf numFmtId="0" fontId="3" fillId="0" borderId="4" xfId="0" applyFont="1" applyBorder="1"/>
    <xf numFmtId="0" fontId="3" fillId="3" borderId="4" xfId="0" applyFont="1" applyFill="1" applyBorder="1"/>
    <xf numFmtId="2" fontId="0" fillId="0" borderId="0" xfId="0" applyNumberFormat="1"/>
    <xf numFmtId="0" fontId="3" fillId="0" borderId="0" xfId="0" applyFont="1" applyAlignment="1">
      <alignment horizontal="right"/>
    </xf>
    <xf numFmtId="0" fontId="4" fillId="4" borderId="1" xfId="0" applyFont="1" applyFill="1" applyBorder="1" applyAlignment="1">
      <alignment horizontal="right"/>
    </xf>
    <xf numFmtId="0" fontId="0" fillId="5" borderId="0" xfId="0" applyFill="1"/>
    <xf numFmtId="0" fontId="0" fillId="5" borderId="1" xfId="0" applyFill="1" applyBorder="1"/>
    <xf numFmtId="2" fontId="0" fillId="5" borderId="0" xfId="0" applyNumberFormat="1" applyFill="1"/>
    <xf numFmtId="10" fontId="0" fillId="0" borderId="0" xfId="0" applyNumberFormat="1"/>
    <xf numFmtId="0" fontId="0" fillId="3" borderId="0" xfId="0" applyFill="1"/>
    <xf numFmtId="10" fontId="0" fillId="3" borderId="0" xfId="0" applyNumberFormat="1" applyFill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95250</xdr:rowOff>
    </xdr:from>
    <xdr:to>
      <xdr:col>5</xdr:col>
      <xdr:colOff>427038</xdr:colOff>
      <xdr:row>14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32567C-E75E-9816-68AE-4317D9C4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8" y="95250"/>
          <a:ext cx="3479800" cy="2609850"/>
        </a:xfrm>
        <a:prstGeom prst="rect">
          <a:avLst/>
        </a:prstGeom>
      </xdr:spPr>
    </xdr:pic>
    <xdr:clientData/>
  </xdr:twoCellAnchor>
  <xdr:twoCellAnchor editAs="oneCell">
    <xdr:from>
      <xdr:col>5</xdr:col>
      <xdr:colOff>638175</xdr:colOff>
      <xdr:row>0</xdr:row>
      <xdr:rowOff>123825</xdr:rowOff>
    </xdr:from>
    <xdr:to>
      <xdr:col>11</xdr:col>
      <xdr:colOff>288926</xdr:colOff>
      <xdr:row>15</xdr:row>
      <xdr:rowOff>61913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BC50F1-AF35-BCD8-5E6E-55ECD3BF6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123825"/>
          <a:ext cx="3536951" cy="2652713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0</xdr:row>
      <xdr:rowOff>119063</xdr:rowOff>
    </xdr:from>
    <xdr:to>
      <xdr:col>17</xdr:col>
      <xdr:colOff>165100</xdr:colOff>
      <xdr:row>15</xdr:row>
      <xdr:rowOff>100013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71B5B8-5707-0228-81C6-F9AB329C3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0" y="119063"/>
          <a:ext cx="3594100" cy="2695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CF3F-7697-4AEE-A7EC-C156EBE7E27A}">
  <dimension ref="A1:AY56"/>
  <sheetViews>
    <sheetView showGridLines="0" tabSelected="1" zoomScale="49" zoomScaleNormal="80" workbookViewId="0">
      <selection activeCell="AU22" sqref="AU22"/>
    </sheetView>
  </sheetViews>
  <sheetFormatPr defaultRowHeight="14.25" x14ac:dyDescent="0.45"/>
  <cols>
    <col min="10" max="10" width="4.3984375" customWidth="1"/>
    <col min="11" max="11" width="3" customWidth="1"/>
    <col min="13" max="13" width="10.53125" customWidth="1"/>
    <col min="14" max="14" width="9.9296875" customWidth="1"/>
    <col min="15" max="15" width="10.1328125" bestFit="1" customWidth="1"/>
    <col min="16" max="17" width="3.86328125" customWidth="1"/>
    <col min="20" max="21" width="3.6640625" customWidth="1"/>
    <col min="22" max="22" width="2.53125" customWidth="1"/>
    <col min="24" max="24" width="26.86328125" customWidth="1"/>
    <col min="25" max="25" width="14.265625" bestFit="1" customWidth="1"/>
    <col min="26" max="26" width="13.46484375" bestFit="1" customWidth="1"/>
    <col min="27" max="27" width="11.73046875" bestFit="1" customWidth="1"/>
    <col min="29" max="29" width="12.3984375" bestFit="1" customWidth="1"/>
    <col min="30" max="30" width="13.796875" bestFit="1" customWidth="1"/>
    <col min="31" max="31" width="12.46484375" bestFit="1" customWidth="1"/>
    <col min="34" max="34" width="13.33203125" bestFit="1" customWidth="1"/>
    <col min="37" max="37" width="20.9296875" bestFit="1" customWidth="1"/>
    <col min="38" max="38" width="11.3984375" bestFit="1" customWidth="1"/>
    <col min="39" max="39" width="21.53125" bestFit="1" customWidth="1"/>
    <col min="40" max="40" width="23.33203125" bestFit="1" customWidth="1"/>
    <col min="41" max="41" width="12" bestFit="1" customWidth="1"/>
    <col min="43" max="43" width="9.06640625" customWidth="1"/>
    <col min="44" max="44" width="3.33203125" customWidth="1"/>
    <col min="48" max="48" width="12.33203125" customWidth="1"/>
  </cols>
  <sheetData>
    <row r="1" spans="1:51" ht="14.65" thickBot="1" x14ac:dyDescent="0.5">
      <c r="A1" s="2" t="s">
        <v>33</v>
      </c>
      <c r="B1" s="2"/>
      <c r="J1" s="7"/>
      <c r="M1" s="2" t="s">
        <v>34</v>
      </c>
      <c r="N1" s="2"/>
      <c r="O1" s="2"/>
      <c r="U1" s="7"/>
      <c r="W1" s="14" t="s">
        <v>77</v>
      </c>
      <c r="Y1" s="10" t="s">
        <v>66</v>
      </c>
      <c r="Z1" s="10" t="s">
        <v>67</v>
      </c>
      <c r="AA1" s="10" t="s">
        <v>68</v>
      </c>
      <c r="AG1" s="14" t="s">
        <v>108</v>
      </c>
      <c r="AR1" s="7"/>
      <c r="AT1" t="s">
        <v>109</v>
      </c>
    </row>
    <row r="2" spans="1:51" x14ac:dyDescent="0.45">
      <c r="J2" s="7"/>
      <c r="U2" s="7"/>
      <c r="X2" s="11" t="s">
        <v>69</v>
      </c>
      <c r="Y2">
        <v>200</v>
      </c>
      <c r="Z2">
        <f>50*4</f>
        <v>200</v>
      </c>
      <c r="AA2">
        <f>2.1*100</f>
        <v>210</v>
      </c>
      <c r="AH2" t="s">
        <v>17</v>
      </c>
      <c r="AI2">
        <v>2</v>
      </c>
      <c r="AJ2" t="s">
        <v>89</v>
      </c>
      <c r="AR2" s="7"/>
    </row>
    <row r="3" spans="1:51" x14ac:dyDescent="0.45">
      <c r="A3" t="s">
        <v>7</v>
      </c>
      <c r="J3" s="7"/>
      <c r="M3" t="s">
        <v>35</v>
      </c>
      <c r="U3" s="7"/>
      <c r="X3" s="11" t="s">
        <v>70</v>
      </c>
      <c r="Y3">
        <v>100</v>
      </c>
      <c r="Z3">
        <v>100</v>
      </c>
      <c r="AA3">
        <v>104</v>
      </c>
      <c r="AH3" t="s">
        <v>45</v>
      </c>
      <c r="AI3">
        <v>12</v>
      </c>
      <c r="AJ3" t="s">
        <v>89</v>
      </c>
      <c r="AR3" s="7"/>
    </row>
    <row r="4" spans="1:51" x14ac:dyDescent="0.45">
      <c r="J4" s="7"/>
      <c r="U4" s="7"/>
      <c r="X4" s="11" t="s">
        <v>71</v>
      </c>
      <c r="Y4">
        <v>190</v>
      </c>
      <c r="Z4">
        <v>190</v>
      </c>
      <c r="AA4">
        <f>Z4-(140*0.1)</f>
        <v>176</v>
      </c>
      <c r="AH4" t="s">
        <v>90</v>
      </c>
      <c r="AI4" s="1">
        <v>0.4</v>
      </c>
      <c r="AR4" s="7"/>
      <c r="AT4" t="s">
        <v>110</v>
      </c>
    </row>
    <row r="5" spans="1:51" x14ac:dyDescent="0.45">
      <c r="A5" s="5" t="s">
        <v>30</v>
      </c>
      <c r="J5" s="7"/>
      <c r="M5" t="s">
        <v>36</v>
      </c>
      <c r="U5" s="7"/>
      <c r="X5" s="12" t="s">
        <v>72</v>
      </c>
      <c r="Y5">
        <v>490</v>
      </c>
      <c r="Z5">
        <v>490</v>
      </c>
      <c r="AA5">
        <f>SUM(AA2:AA4)</f>
        <v>490</v>
      </c>
      <c r="AH5" t="s">
        <v>91</v>
      </c>
      <c r="AI5">
        <v>1</v>
      </c>
      <c r="AR5" s="7"/>
    </row>
    <row r="6" spans="1:51" x14ac:dyDescent="0.45">
      <c r="A6" t="s">
        <v>0</v>
      </c>
      <c r="J6" s="7"/>
      <c r="U6" s="7"/>
      <c r="X6" s="11"/>
      <c r="AH6" t="s">
        <v>92</v>
      </c>
      <c r="AI6" s="1">
        <v>0.09</v>
      </c>
      <c r="AR6" s="7"/>
    </row>
    <row r="7" spans="1:51" ht="14.65" thickBot="1" x14ac:dyDescent="0.5">
      <c r="J7" s="7"/>
      <c r="M7" t="s">
        <v>37</v>
      </c>
      <c r="O7" s="2"/>
      <c r="P7" s="2"/>
      <c r="Q7" s="3" t="s">
        <v>41</v>
      </c>
      <c r="R7" s="2" t="s">
        <v>39</v>
      </c>
      <c r="S7" s="2"/>
      <c r="T7" s="2"/>
      <c r="U7" s="7"/>
      <c r="X7" s="11"/>
      <c r="AH7" t="s">
        <v>93</v>
      </c>
      <c r="AI7" s="1">
        <v>0.12</v>
      </c>
      <c r="AR7" s="7"/>
      <c r="AT7" t="s">
        <v>111</v>
      </c>
    </row>
    <row r="8" spans="1:51" x14ac:dyDescent="0.45">
      <c r="A8" t="s">
        <v>1</v>
      </c>
      <c r="J8" s="7"/>
      <c r="O8" s="3" t="s">
        <v>38</v>
      </c>
      <c r="R8" s="26" t="s">
        <v>40</v>
      </c>
      <c r="S8" s="26"/>
      <c r="U8" s="7"/>
      <c r="X8" s="11" t="s">
        <v>26</v>
      </c>
      <c r="Y8">
        <v>17</v>
      </c>
      <c r="Z8">
        <f>Y13/Z9</f>
        <v>8.5</v>
      </c>
      <c r="AA8" s="13">
        <f>Z13/AA9</f>
        <v>16.19047619047619</v>
      </c>
      <c r="AH8" t="s">
        <v>94</v>
      </c>
      <c r="AI8">
        <v>8</v>
      </c>
      <c r="AJ8" t="s">
        <v>89</v>
      </c>
      <c r="AR8" s="7"/>
    </row>
    <row r="9" spans="1:51" x14ac:dyDescent="0.45">
      <c r="J9" s="7"/>
      <c r="U9" s="7"/>
      <c r="X9" s="11" t="s">
        <v>73</v>
      </c>
      <c r="Y9" s="8">
        <v>2</v>
      </c>
      <c r="Z9">
        <v>4</v>
      </c>
      <c r="AA9">
        <f>2.1</f>
        <v>2.1</v>
      </c>
      <c r="AR9" s="7"/>
    </row>
    <row r="10" spans="1:51" x14ac:dyDescent="0.45">
      <c r="A10" t="s">
        <v>2</v>
      </c>
      <c r="J10" s="7"/>
      <c r="U10" s="7"/>
      <c r="X10" s="11" t="s">
        <v>74</v>
      </c>
      <c r="Y10">
        <v>6.5</v>
      </c>
      <c r="Z10">
        <f>Z8*Y11</f>
        <v>3.25</v>
      </c>
      <c r="AA10" s="13">
        <f>AA8*Z11</f>
        <v>6.1904761904761898</v>
      </c>
      <c r="AR10" s="7"/>
    </row>
    <row r="11" spans="1:51" ht="14.65" thickBot="1" x14ac:dyDescent="0.5">
      <c r="A11" t="s">
        <v>3</v>
      </c>
      <c r="J11" s="7"/>
      <c r="N11" s="2" t="s">
        <v>15</v>
      </c>
      <c r="O11" s="2" t="s">
        <v>16</v>
      </c>
      <c r="U11" s="7"/>
      <c r="X11" s="11" t="s">
        <v>75</v>
      </c>
      <c r="Y11" s="13">
        <f>Y10/Y8</f>
        <v>0.38235294117647056</v>
      </c>
      <c r="Z11" s="13">
        <f>Z10/Z8</f>
        <v>0.38235294117647056</v>
      </c>
      <c r="AA11" s="13">
        <f>AA10/AA8</f>
        <v>0.38235294117647056</v>
      </c>
      <c r="AR11" s="7"/>
      <c r="AT11" t="s">
        <v>112</v>
      </c>
      <c r="AW11" s="2" t="s">
        <v>114</v>
      </c>
      <c r="AX11" s="2"/>
      <c r="AY11" s="2"/>
    </row>
    <row r="12" spans="1:51" x14ac:dyDescent="0.45">
      <c r="A12" t="s">
        <v>4</v>
      </c>
      <c r="J12" s="7"/>
      <c r="M12" t="s">
        <v>17</v>
      </c>
      <c r="N12">
        <v>1000000</v>
      </c>
      <c r="O12">
        <f>N12</f>
        <v>1000000</v>
      </c>
      <c r="U12" s="7"/>
      <c r="X12" s="11"/>
      <c r="AK12" s="8" t="s">
        <v>95</v>
      </c>
      <c r="AL12" t="s">
        <v>96</v>
      </c>
      <c r="AR12" s="7"/>
      <c r="AX12" t="s">
        <v>113</v>
      </c>
    </row>
    <row r="13" spans="1:51" x14ac:dyDescent="0.45">
      <c r="A13" t="s">
        <v>5</v>
      </c>
      <c r="J13" s="7"/>
      <c r="M13" t="s">
        <v>10</v>
      </c>
      <c r="N13">
        <v>0</v>
      </c>
      <c r="O13">
        <f>O12</f>
        <v>1000000</v>
      </c>
      <c r="U13" s="7"/>
      <c r="X13" s="11" t="s">
        <v>76</v>
      </c>
      <c r="Y13">
        <f>Y8*Y9</f>
        <v>34</v>
      </c>
      <c r="Z13">
        <f>Z8*Z9</f>
        <v>34</v>
      </c>
      <c r="AA13">
        <f>AA8*AA9</f>
        <v>34</v>
      </c>
      <c r="AL13" s="19">
        <f>AI6+AI5*0.06</f>
        <v>0.15</v>
      </c>
      <c r="AR13" s="7"/>
    </row>
    <row r="14" spans="1:51" x14ac:dyDescent="0.45">
      <c r="A14" t="s">
        <v>6</v>
      </c>
      <c r="J14" s="7"/>
      <c r="M14" t="s">
        <v>12</v>
      </c>
      <c r="N14" s="1">
        <v>0.4</v>
      </c>
      <c r="O14">
        <f>0.4*O12</f>
        <v>400000</v>
      </c>
      <c r="U14" s="7"/>
      <c r="AR14" s="7"/>
    </row>
    <row r="15" spans="1:51" x14ac:dyDescent="0.45">
      <c r="J15" s="7"/>
      <c r="M15" t="s">
        <v>42</v>
      </c>
      <c r="N15" s="6">
        <v>1000000</v>
      </c>
      <c r="O15">
        <f>O12-O14</f>
        <v>600000</v>
      </c>
      <c r="U15" s="7"/>
      <c r="AJ15" s="14" t="s">
        <v>97</v>
      </c>
      <c r="AK15" s="14" t="s">
        <v>98</v>
      </c>
      <c r="AL15" s="14" t="s">
        <v>99</v>
      </c>
      <c r="AM15" s="14" t="s">
        <v>100</v>
      </c>
      <c r="AN15" s="14" t="s">
        <v>101</v>
      </c>
      <c r="AO15" s="14" t="s">
        <v>102</v>
      </c>
      <c r="AP15" s="14" t="s">
        <v>103</v>
      </c>
      <c r="AR15" s="7"/>
    </row>
    <row r="16" spans="1:51" x14ac:dyDescent="0.45">
      <c r="A16" t="s">
        <v>8</v>
      </c>
      <c r="J16" s="7"/>
      <c r="M16" t="s">
        <v>43</v>
      </c>
      <c r="N16">
        <f>N15*0.2</f>
        <v>200000</v>
      </c>
      <c r="O16">
        <f>0.2*O15</f>
        <v>120000</v>
      </c>
      <c r="U16" s="7"/>
      <c r="AJ16">
        <v>2.5</v>
      </c>
      <c r="AK16">
        <v>2.5</v>
      </c>
      <c r="AL16">
        <f>AK16*$AI$4</f>
        <v>1</v>
      </c>
      <c r="AM16">
        <f>AO16*AP16</f>
        <v>0</v>
      </c>
      <c r="AO16" s="1">
        <v>0</v>
      </c>
      <c r="AP16">
        <f>$AI$8</f>
        <v>8</v>
      </c>
      <c r="AR16" s="7"/>
    </row>
    <row r="17" spans="1:44" x14ac:dyDescent="0.45">
      <c r="J17" s="7"/>
      <c r="M17" t="s">
        <v>44</v>
      </c>
      <c r="N17">
        <f>N15-N16</f>
        <v>800000</v>
      </c>
      <c r="O17">
        <f>O15-O16</f>
        <v>480000</v>
      </c>
      <c r="U17" s="7"/>
      <c r="AJ17">
        <v>5</v>
      </c>
      <c r="AK17">
        <f>AJ17-AJ16</f>
        <v>2.5</v>
      </c>
      <c r="AL17">
        <f t="shared" ref="AL17:AL22" si="0">AK17*$AI$4</f>
        <v>1</v>
      </c>
      <c r="AM17">
        <f t="shared" ref="AM17" si="1">AO17*AP17</f>
        <v>0.64</v>
      </c>
      <c r="AO17" s="1">
        <v>0.08</v>
      </c>
      <c r="AP17">
        <f t="shared" ref="AP17:AP22" si="2">$AI$8</f>
        <v>8</v>
      </c>
      <c r="AR17" s="7"/>
    </row>
    <row r="18" spans="1:44" x14ac:dyDescent="0.45">
      <c r="J18" s="7"/>
      <c r="U18" s="7"/>
      <c r="W18" s="14" t="s">
        <v>88</v>
      </c>
      <c r="AJ18" s="20">
        <v>7.5</v>
      </c>
      <c r="AK18" s="20">
        <f t="shared" ref="AK18:AK22" si="3">AJ18-AJ17</f>
        <v>2.5</v>
      </c>
      <c r="AL18" s="20">
        <f t="shared" si="0"/>
        <v>1</v>
      </c>
      <c r="AM18" s="20">
        <f>AN18-AM17</f>
        <v>0.99999999999999989</v>
      </c>
      <c r="AN18" s="20">
        <f>AO18*AP18</f>
        <v>1.64</v>
      </c>
      <c r="AO18" s="21">
        <v>0.20499999999999999</v>
      </c>
      <c r="AP18" s="20">
        <f t="shared" si="2"/>
        <v>8</v>
      </c>
      <c r="AR18" s="7"/>
    </row>
    <row r="19" spans="1:44" ht="16.149999999999999" thickBot="1" x14ac:dyDescent="0.55000000000000004">
      <c r="C19" s="2" t="s">
        <v>15</v>
      </c>
      <c r="D19" s="2" t="s">
        <v>16</v>
      </c>
      <c r="J19" s="7"/>
      <c r="M19" t="s">
        <v>45</v>
      </c>
      <c r="N19">
        <f>N17</f>
        <v>800000</v>
      </c>
      <c r="O19">
        <f>O17+O14</f>
        <v>880000</v>
      </c>
      <c r="U19" s="7"/>
      <c r="X19" s="23" t="s">
        <v>78</v>
      </c>
      <c r="Y19" s="23"/>
      <c r="Z19" s="23"/>
      <c r="AA19" s="23"/>
      <c r="AC19" s="23" t="s">
        <v>79</v>
      </c>
      <c r="AD19" s="23"/>
      <c r="AE19" s="23"/>
      <c r="AJ19">
        <v>8</v>
      </c>
      <c r="AK19">
        <f t="shared" si="3"/>
        <v>0.5</v>
      </c>
      <c r="AL19">
        <f t="shared" si="0"/>
        <v>0.2</v>
      </c>
      <c r="AM19">
        <f>AN19-AN18</f>
        <v>0.76</v>
      </c>
      <c r="AN19">
        <f t="shared" ref="AN19:AN22" si="4">AO19*AP19</f>
        <v>2.4</v>
      </c>
      <c r="AO19" s="1">
        <v>0.3</v>
      </c>
      <c r="AP19">
        <f t="shared" si="2"/>
        <v>8</v>
      </c>
      <c r="AR19" s="7"/>
    </row>
    <row r="20" spans="1:44" ht="16.149999999999999" thickBot="1" x14ac:dyDescent="0.55000000000000004">
      <c r="A20" t="s">
        <v>9</v>
      </c>
      <c r="C20">
        <v>8000</v>
      </c>
      <c r="D20">
        <v>8000</v>
      </c>
      <c r="F20" t="s">
        <v>17</v>
      </c>
      <c r="J20" s="7"/>
      <c r="U20" s="7"/>
      <c r="X20" s="15" t="s">
        <v>80</v>
      </c>
      <c r="Y20" s="15" t="s">
        <v>26</v>
      </c>
      <c r="Z20" s="15" t="s">
        <v>74</v>
      </c>
      <c r="AA20" s="15" t="s">
        <v>81</v>
      </c>
      <c r="AB20" s="8"/>
      <c r="AC20" s="15" t="s">
        <v>26</v>
      </c>
      <c r="AD20" s="15" t="s">
        <v>74</v>
      </c>
      <c r="AE20" s="15" t="s">
        <v>82</v>
      </c>
      <c r="AJ20">
        <v>9</v>
      </c>
      <c r="AK20">
        <f t="shared" si="3"/>
        <v>1</v>
      </c>
      <c r="AL20">
        <f t="shared" si="0"/>
        <v>0.4</v>
      </c>
      <c r="AM20">
        <f t="shared" ref="AM20:AM22" si="5">AN20-AN19</f>
        <v>1.2000000000000002</v>
      </c>
      <c r="AN20">
        <f t="shared" si="4"/>
        <v>3.6</v>
      </c>
      <c r="AO20" s="1">
        <v>0.45</v>
      </c>
      <c r="AP20">
        <f t="shared" si="2"/>
        <v>8</v>
      </c>
      <c r="AR20" s="7"/>
    </row>
    <row r="21" spans="1:44" x14ac:dyDescent="0.45">
      <c r="A21" t="s">
        <v>10</v>
      </c>
      <c r="C21">
        <v>0</v>
      </c>
      <c r="D21">
        <v>4000</v>
      </c>
      <c r="F21" t="s">
        <v>18</v>
      </c>
      <c r="G21">
        <v>1200</v>
      </c>
      <c r="J21" s="7"/>
      <c r="M21" t="s">
        <v>46</v>
      </c>
      <c r="N21" t="s">
        <v>47</v>
      </c>
      <c r="U21" s="7"/>
      <c r="X21" s="16">
        <v>2005</v>
      </c>
      <c r="Y21" s="16">
        <v>4</v>
      </c>
      <c r="Z21" s="16">
        <v>1.6</v>
      </c>
      <c r="AA21" s="16">
        <v>12</v>
      </c>
      <c r="AC21" s="16">
        <v>4</v>
      </c>
      <c r="AD21" s="16">
        <v>1.8</v>
      </c>
      <c r="AE21" s="16">
        <v>13.5</v>
      </c>
      <c r="AJ21">
        <v>10</v>
      </c>
      <c r="AK21">
        <f t="shared" si="3"/>
        <v>1</v>
      </c>
      <c r="AL21">
        <f t="shared" si="0"/>
        <v>0.4</v>
      </c>
      <c r="AM21">
        <f t="shared" si="5"/>
        <v>0.60000000000000009</v>
      </c>
      <c r="AN21">
        <f t="shared" si="4"/>
        <v>4.2</v>
      </c>
      <c r="AO21" s="19">
        <v>0.52500000000000002</v>
      </c>
      <c r="AP21">
        <f t="shared" si="2"/>
        <v>8</v>
      </c>
      <c r="AR21" s="7"/>
    </row>
    <row r="22" spans="1:44" x14ac:dyDescent="0.45">
      <c r="A22" t="s">
        <v>11</v>
      </c>
      <c r="C22">
        <v>8000</v>
      </c>
      <c r="D22">
        <v>4000</v>
      </c>
      <c r="F22" t="s">
        <v>19</v>
      </c>
      <c r="G22">
        <v>2000</v>
      </c>
      <c r="J22" s="7"/>
      <c r="N22">
        <f>N14*O13*0.2</f>
        <v>80000</v>
      </c>
      <c r="U22" s="7"/>
      <c r="X22" s="16">
        <v>2006</v>
      </c>
      <c r="Y22" s="16">
        <v>1.5</v>
      </c>
      <c r="Z22" s="16">
        <v>0.6</v>
      </c>
      <c r="AA22" s="16">
        <v>8.5</v>
      </c>
      <c r="AC22" s="16">
        <v>1.5</v>
      </c>
      <c r="AD22" s="16">
        <v>1.8</v>
      </c>
      <c r="AE22" s="16">
        <v>12.5</v>
      </c>
      <c r="AJ22">
        <v>12.5</v>
      </c>
      <c r="AK22">
        <f t="shared" si="3"/>
        <v>2.5</v>
      </c>
      <c r="AL22">
        <f t="shared" si="0"/>
        <v>1</v>
      </c>
      <c r="AM22">
        <f t="shared" si="5"/>
        <v>1.3999999999999995</v>
      </c>
      <c r="AN22">
        <f t="shared" si="4"/>
        <v>5.6</v>
      </c>
      <c r="AO22" s="1">
        <v>0.7</v>
      </c>
      <c r="AP22">
        <f t="shared" si="2"/>
        <v>8</v>
      </c>
      <c r="AR22" s="7"/>
    </row>
    <row r="23" spans="1:44" x14ac:dyDescent="0.45">
      <c r="A23" t="s">
        <v>12</v>
      </c>
      <c r="C23" s="1">
        <v>0.1</v>
      </c>
      <c r="D23" s="1">
        <v>0.1</v>
      </c>
      <c r="F23" t="s">
        <v>20</v>
      </c>
      <c r="G23">
        <v>400</v>
      </c>
      <c r="J23" s="7"/>
      <c r="U23" s="7"/>
      <c r="X23" s="16">
        <v>2007</v>
      </c>
      <c r="Y23" s="16">
        <v>5</v>
      </c>
      <c r="Z23" s="16">
        <v>2</v>
      </c>
      <c r="AA23" s="16">
        <v>13.5</v>
      </c>
      <c r="AC23" s="16">
        <v>5</v>
      </c>
      <c r="AD23" s="16">
        <v>1.8</v>
      </c>
      <c r="AE23" s="16">
        <v>12.5</v>
      </c>
      <c r="AR23" s="7"/>
    </row>
    <row r="24" spans="1:44" x14ac:dyDescent="0.45">
      <c r="A24" t="s">
        <v>13</v>
      </c>
      <c r="C24">
        <v>20</v>
      </c>
      <c r="D24">
        <v>20</v>
      </c>
      <c r="J24" s="7"/>
      <c r="U24" s="7"/>
      <c r="X24" s="16">
        <v>2008</v>
      </c>
      <c r="Y24" s="16">
        <v>4</v>
      </c>
      <c r="Z24" s="16">
        <v>1.6</v>
      </c>
      <c r="AA24" s="16">
        <v>11.5</v>
      </c>
      <c r="AC24" s="16">
        <v>4</v>
      </c>
      <c r="AD24" s="16">
        <v>1.8</v>
      </c>
      <c r="AE24" s="16">
        <v>12.5</v>
      </c>
      <c r="AR24" s="7"/>
    </row>
    <row r="25" spans="1:44" ht="14.65" thickBot="1" x14ac:dyDescent="0.5">
      <c r="A25" t="s">
        <v>14</v>
      </c>
      <c r="C25">
        <f>C22/C24</f>
        <v>400</v>
      </c>
      <c r="D25">
        <f>D22/D24</f>
        <v>200</v>
      </c>
      <c r="J25" s="7"/>
      <c r="L25" t="s">
        <v>48</v>
      </c>
      <c r="U25" s="7"/>
      <c r="X25" s="17">
        <v>2009</v>
      </c>
      <c r="Y25" s="17">
        <v>8</v>
      </c>
      <c r="Z25" s="17">
        <v>3.2</v>
      </c>
      <c r="AA25" s="17">
        <v>14.5</v>
      </c>
      <c r="AC25" s="17">
        <v>8</v>
      </c>
      <c r="AD25" s="17">
        <v>1.8</v>
      </c>
      <c r="AE25" s="17">
        <v>15</v>
      </c>
      <c r="AH25" t="s">
        <v>104</v>
      </c>
      <c r="AI25">
        <v>75</v>
      </c>
      <c r="AR25" s="7"/>
    </row>
    <row r="26" spans="1:44" x14ac:dyDescent="0.45">
      <c r="J26" s="7"/>
      <c r="U26" s="7"/>
      <c r="X26" t="s">
        <v>83</v>
      </c>
      <c r="Y26">
        <f>AVERAGE(Y21:Y25)</f>
        <v>4.5</v>
      </c>
      <c r="Z26">
        <f>AVERAGE(Z21:Z25)</f>
        <v>1.8</v>
      </c>
      <c r="AA26">
        <f>AVERAGE(AA21:AA25)</f>
        <v>12</v>
      </c>
      <c r="AC26">
        <f>AVERAGE(AC21:AC25)</f>
        <v>4.5</v>
      </c>
      <c r="AD26">
        <f>AVERAGE(AD21:AD25)</f>
        <v>1.8</v>
      </c>
      <c r="AE26">
        <f>AVERAGE(AE21:AE25)</f>
        <v>13.2</v>
      </c>
      <c r="AH26" t="s">
        <v>105</v>
      </c>
      <c r="AI26" s="1">
        <v>0.12</v>
      </c>
      <c r="AR26" s="7"/>
    </row>
    <row r="27" spans="1:44" x14ac:dyDescent="0.45">
      <c r="A27" t="s">
        <v>21</v>
      </c>
      <c r="C27" s="24" t="s">
        <v>15</v>
      </c>
      <c r="D27" s="24"/>
      <c r="E27" s="24"/>
      <c r="G27" s="24" t="s">
        <v>16</v>
      </c>
      <c r="H27" s="24"/>
      <c r="I27" s="24"/>
      <c r="J27" s="25"/>
      <c r="K27" s="3"/>
      <c r="M27" t="s">
        <v>49</v>
      </c>
      <c r="O27" t="s">
        <v>16</v>
      </c>
      <c r="U27" s="7"/>
      <c r="AR27" s="7"/>
    </row>
    <row r="28" spans="1:44" ht="16.149999999999999" thickBot="1" x14ac:dyDescent="0.55000000000000004">
      <c r="C28" s="2" t="s">
        <v>18</v>
      </c>
      <c r="D28" s="2" t="s">
        <v>19</v>
      </c>
      <c r="E28" s="2" t="s">
        <v>20</v>
      </c>
      <c r="G28" s="2" t="s">
        <v>18</v>
      </c>
      <c r="H28" s="2" t="s">
        <v>19</v>
      </c>
      <c r="I28" s="2" t="s">
        <v>20</v>
      </c>
      <c r="J28" s="7"/>
      <c r="U28" s="7"/>
      <c r="X28" s="15" t="s">
        <v>80</v>
      </c>
      <c r="Y28" s="15" t="s">
        <v>84</v>
      </c>
      <c r="Z28" s="15" t="s">
        <v>85</v>
      </c>
      <c r="AA28" s="15" t="s">
        <v>75</v>
      </c>
      <c r="AC28" s="15" t="s">
        <v>84</v>
      </c>
      <c r="AD28" s="15" t="s">
        <v>85</v>
      </c>
      <c r="AE28" s="15" t="s">
        <v>75</v>
      </c>
      <c r="AH28" s="22" t="s">
        <v>106</v>
      </c>
      <c r="AI28">
        <f>AI26*AI3/(AI3+AI25)</f>
        <v>1.6551724137931035E-2</v>
      </c>
      <c r="AJ28">
        <f>AI26*(1-AI4)*AI25/(AI25+AI3)</f>
        <v>6.2068965517241372E-2</v>
      </c>
      <c r="AR28" s="7"/>
    </row>
    <row r="29" spans="1:44" x14ac:dyDescent="0.45">
      <c r="J29" s="7"/>
      <c r="M29" t="s">
        <v>55</v>
      </c>
      <c r="O29" t="s">
        <v>52</v>
      </c>
      <c r="U29" s="7"/>
      <c r="X29" s="16">
        <v>2005</v>
      </c>
      <c r="Y29" s="18">
        <f>Y21/AA21</f>
        <v>0.33333333333333331</v>
      </c>
      <c r="Z29" s="18">
        <f>Z21/AA21</f>
        <v>0.13333333333333333</v>
      </c>
      <c r="AA29" s="16">
        <f>Z21/Y21</f>
        <v>0.4</v>
      </c>
      <c r="AC29" s="18">
        <f>AC21/AE21</f>
        <v>0.29629629629629628</v>
      </c>
      <c r="AD29" s="18">
        <f>AD21/AE21</f>
        <v>0.13333333333333333</v>
      </c>
      <c r="AE29" s="16">
        <f>AD21/AC21</f>
        <v>0.45</v>
      </c>
      <c r="AI29">
        <f>AI28+AJ28</f>
        <v>7.862068965517241E-2</v>
      </c>
      <c r="AR29" s="7"/>
    </row>
    <row r="30" spans="1:44" x14ac:dyDescent="0.45">
      <c r="A30" t="s">
        <v>22</v>
      </c>
      <c r="C30">
        <f>G21/C20</f>
        <v>0.15</v>
      </c>
      <c r="D30">
        <f>G22/C20</f>
        <v>0.25</v>
      </c>
      <c r="E30">
        <f>G23/C20</f>
        <v>0.05</v>
      </c>
      <c r="G30">
        <f>G21/D20</f>
        <v>0.15</v>
      </c>
      <c r="H30">
        <f>G22/D20</f>
        <v>0.25</v>
      </c>
      <c r="I30">
        <f>G23/D20</f>
        <v>0.05</v>
      </c>
      <c r="J30" s="7"/>
      <c r="M30" t="s">
        <v>50</v>
      </c>
      <c r="O30" t="s">
        <v>53</v>
      </c>
      <c r="U30" s="7"/>
      <c r="X30" s="16">
        <v>2006</v>
      </c>
      <c r="Y30" s="18">
        <f t="shared" ref="Y30:Y33" si="6">Y22/AA22</f>
        <v>0.17647058823529413</v>
      </c>
      <c r="Z30" s="18">
        <f t="shared" ref="Z30:Z33" si="7">Z22/AA22</f>
        <v>7.0588235294117646E-2</v>
      </c>
      <c r="AA30" s="16">
        <f t="shared" ref="AA30:AA33" si="8">Z22/Y22</f>
        <v>0.39999999999999997</v>
      </c>
      <c r="AC30" s="18">
        <f t="shared" ref="AC30:AC33" si="9">AC22/AE22</f>
        <v>0.12</v>
      </c>
      <c r="AD30" s="18">
        <f t="shared" ref="AD30:AD33" si="10">AD22/AE22</f>
        <v>0.14400000000000002</v>
      </c>
      <c r="AE30" s="16">
        <f t="shared" ref="AE30:AE33" si="11">AD22/AC22</f>
        <v>1.2</v>
      </c>
      <c r="AR30" s="7"/>
    </row>
    <row r="31" spans="1:44" x14ac:dyDescent="0.45">
      <c r="A31" t="s">
        <v>23</v>
      </c>
      <c r="J31" s="7"/>
      <c r="M31" t="s">
        <v>51</v>
      </c>
      <c r="U31" s="7"/>
      <c r="X31" s="16">
        <v>2007</v>
      </c>
      <c r="Y31" s="18">
        <f t="shared" si="6"/>
        <v>0.37037037037037035</v>
      </c>
      <c r="Z31" s="18">
        <f t="shared" si="7"/>
        <v>0.14814814814814814</v>
      </c>
      <c r="AA31" s="16">
        <f t="shared" si="8"/>
        <v>0.4</v>
      </c>
      <c r="AC31" s="18">
        <f t="shared" si="9"/>
        <v>0.4</v>
      </c>
      <c r="AD31" s="18">
        <f t="shared" si="10"/>
        <v>0.14400000000000002</v>
      </c>
      <c r="AE31" s="16">
        <f t="shared" si="11"/>
        <v>0.36</v>
      </c>
      <c r="AH31" t="s">
        <v>107</v>
      </c>
      <c r="AR31" s="7"/>
    </row>
    <row r="32" spans="1:44" x14ac:dyDescent="0.45">
      <c r="J32" s="7"/>
      <c r="U32" s="7"/>
      <c r="X32" s="16">
        <v>2008</v>
      </c>
      <c r="Y32" s="18">
        <f t="shared" si="6"/>
        <v>0.34782608695652173</v>
      </c>
      <c r="Z32" s="18">
        <f t="shared" si="7"/>
        <v>0.1391304347826087</v>
      </c>
      <c r="AA32" s="16">
        <f t="shared" si="8"/>
        <v>0.4</v>
      </c>
      <c r="AC32" s="18">
        <f t="shared" si="9"/>
        <v>0.32</v>
      </c>
      <c r="AD32" s="18">
        <f t="shared" si="10"/>
        <v>0.14400000000000002</v>
      </c>
      <c r="AE32" s="16">
        <f t="shared" si="11"/>
        <v>0.45</v>
      </c>
      <c r="AR32" s="7"/>
    </row>
    <row r="33" spans="1:44" x14ac:dyDescent="0.45">
      <c r="A33" t="s">
        <v>24</v>
      </c>
      <c r="C33">
        <f>G21/C22</f>
        <v>0.15</v>
      </c>
      <c r="D33">
        <f>G22/C22</f>
        <v>0.25</v>
      </c>
      <c r="E33" s="4">
        <f>G23/C22</f>
        <v>0.05</v>
      </c>
      <c r="G33">
        <f>(G21-(D23*D21))/D22</f>
        <v>0.2</v>
      </c>
      <c r="H33">
        <f>(G22-(D23*D21))/D22</f>
        <v>0.4</v>
      </c>
      <c r="I33" s="4">
        <f>(G23-(D23*D21))/D22</f>
        <v>0</v>
      </c>
      <c r="J33" s="7"/>
      <c r="K33" s="4"/>
      <c r="M33" t="s">
        <v>57</v>
      </c>
      <c r="U33" s="7"/>
      <c r="X33" s="16">
        <v>2009</v>
      </c>
      <c r="Y33" s="18">
        <f t="shared" si="6"/>
        <v>0.55172413793103448</v>
      </c>
      <c r="Z33" s="18">
        <f t="shared" si="7"/>
        <v>0.22068965517241382</v>
      </c>
      <c r="AA33" s="16">
        <f t="shared" si="8"/>
        <v>0.4</v>
      </c>
      <c r="AC33" s="18">
        <f t="shared" si="9"/>
        <v>0.53333333333333333</v>
      </c>
      <c r="AD33" s="18">
        <f t="shared" si="10"/>
        <v>0.12000000000000001</v>
      </c>
      <c r="AE33" s="16">
        <f t="shared" si="11"/>
        <v>0.22500000000000001</v>
      </c>
      <c r="AJ33">
        <f>AI3+SUM(AL16:AL18)-SUM(AM16:AM18)</f>
        <v>13.36</v>
      </c>
      <c r="AR33" s="7"/>
    </row>
    <row r="34" spans="1:44" x14ac:dyDescent="0.45">
      <c r="A34" t="s">
        <v>25</v>
      </c>
      <c r="J34" s="7"/>
      <c r="U34" s="7"/>
      <c r="AR34" s="7"/>
    </row>
    <row r="35" spans="1:44" x14ac:dyDescent="0.45">
      <c r="J35" s="7"/>
      <c r="M35" s="27" t="s">
        <v>54</v>
      </c>
      <c r="N35" s="27"/>
      <c r="O35">
        <f>(126.6*(1-0.21))/0.2</f>
        <v>500.06999999999994</v>
      </c>
      <c r="P35" s="3" t="s">
        <v>41</v>
      </c>
      <c r="Q35" s="9">
        <f>200*0.21</f>
        <v>42</v>
      </c>
      <c r="U35" s="7"/>
      <c r="AR35" s="7"/>
    </row>
    <row r="36" spans="1:44" x14ac:dyDescent="0.45">
      <c r="A36" t="s">
        <v>26</v>
      </c>
      <c r="C36">
        <f>G21/C25</f>
        <v>3</v>
      </c>
      <c r="D36">
        <f>G22/C25</f>
        <v>5</v>
      </c>
      <c r="E36" s="4">
        <f>G23/D25</f>
        <v>2</v>
      </c>
      <c r="G36">
        <f>(G21-(D23*D21))/D25</f>
        <v>4</v>
      </c>
      <c r="H36">
        <f>(G22-(D23*D21))/D25</f>
        <v>8</v>
      </c>
      <c r="I36" s="4">
        <f>(G23-(D23*D21))/D25</f>
        <v>0</v>
      </c>
      <c r="J36" s="7"/>
      <c r="K36" s="4"/>
      <c r="N36" s="8" t="s">
        <v>56</v>
      </c>
      <c r="O36" s="9">
        <f>O35+Q35</f>
        <v>542.06999999999994</v>
      </c>
      <c r="U36" s="7"/>
      <c r="X36" s="5" t="s">
        <v>86</v>
      </c>
      <c r="AR36" s="7"/>
    </row>
    <row r="37" spans="1:44" x14ac:dyDescent="0.45">
      <c r="A37" t="s">
        <v>27</v>
      </c>
      <c r="J37" s="7"/>
      <c r="U37" s="7"/>
      <c r="X37" s="5" t="s">
        <v>87</v>
      </c>
      <c r="AR37" s="7"/>
    </row>
    <row r="38" spans="1:44" x14ac:dyDescent="0.45">
      <c r="J38" s="7"/>
      <c r="M38" t="s">
        <v>60</v>
      </c>
      <c r="U38" s="7"/>
      <c r="AR38" s="7"/>
    </row>
    <row r="39" spans="1:44" x14ac:dyDescent="0.45">
      <c r="J39" s="7"/>
      <c r="M39" s="8" t="s">
        <v>61</v>
      </c>
      <c r="N39">
        <f>0.2+(200*(1-0.21)/342.07)*(0.2-0.1)</f>
        <v>0.24618937644341804</v>
      </c>
      <c r="U39" s="7"/>
      <c r="AR39" s="7"/>
    </row>
    <row r="40" spans="1:44" x14ac:dyDescent="0.45">
      <c r="A40" t="s">
        <v>28</v>
      </c>
      <c r="J40" s="7"/>
      <c r="U40" s="7"/>
      <c r="AR40" s="7"/>
    </row>
    <row r="41" spans="1:44" x14ac:dyDescent="0.45">
      <c r="J41" s="7"/>
      <c r="U41" s="7"/>
      <c r="AR41" s="7"/>
    </row>
    <row r="42" spans="1:44" x14ac:dyDescent="0.45">
      <c r="A42" t="s">
        <v>26</v>
      </c>
      <c r="C42">
        <f>800/C25</f>
        <v>2</v>
      </c>
      <c r="G42">
        <f>(800-(D23*D21))/D25</f>
        <v>2</v>
      </c>
      <c r="J42" s="7"/>
      <c r="M42" t="s">
        <v>62</v>
      </c>
      <c r="U42" s="7"/>
      <c r="AR42" s="7"/>
    </row>
    <row r="43" spans="1:44" x14ac:dyDescent="0.45">
      <c r="J43" s="7"/>
      <c r="U43" s="7"/>
      <c r="AR43" s="7"/>
    </row>
    <row r="44" spans="1:44" x14ac:dyDescent="0.45">
      <c r="A44" t="s">
        <v>29</v>
      </c>
      <c r="J44" s="7"/>
      <c r="M44" s="8" t="s">
        <v>58</v>
      </c>
      <c r="N44" s="9">
        <f>542.07-200</f>
        <v>342.07000000000005</v>
      </c>
      <c r="U44" s="7"/>
      <c r="AR44" s="7"/>
    </row>
    <row r="45" spans="1:44" x14ac:dyDescent="0.45">
      <c r="J45" s="7"/>
      <c r="U45" s="7"/>
      <c r="AR45" s="7"/>
    </row>
    <row r="46" spans="1:44" x14ac:dyDescent="0.45">
      <c r="A46" s="5" t="s">
        <v>31</v>
      </c>
      <c r="J46" s="7"/>
      <c r="M46" t="s">
        <v>59</v>
      </c>
      <c r="N46">
        <f>N44*N39/(542.07)</f>
        <v>0.15535631929455609</v>
      </c>
      <c r="O46">
        <f>0.1*200*(1-0.21)/(542.07)</f>
        <v>2.9147527072149352E-2</v>
      </c>
      <c r="U46" s="7"/>
      <c r="AR46" s="7"/>
    </row>
    <row r="47" spans="1:44" x14ac:dyDescent="0.45">
      <c r="A47" t="s">
        <v>32</v>
      </c>
      <c r="J47" s="7"/>
      <c r="N47">
        <f>N46+O46</f>
        <v>0.18450384636670544</v>
      </c>
      <c r="U47" s="7"/>
      <c r="AR47" s="7"/>
    </row>
    <row r="48" spans="1:44" x14ac:dyDescent="0.45">
      <c r="J48" s="7"/>
      <c r="U48" s="7"/>
      <c r="AR48" s="7"/>
    </row>
    <row r="49" spans="1:44" x14ac:dyDescent="0.45">
      <c r="A49" t="s">
        <v>18</v>
      </c>
      <c r="B49">
        <f>G21/C22</f>
        <v>0.15</v>
      </c>
      <c r="J49" s="7"/>
      <c r="M49" t="s">
        <v>63</v>
      </c>
      <c r="U49" s="7"/>
      <c r="AR49" s="7"/>
    </row>
    <row r="50" spans="1:44" x14ac:dyDescent="0.45">
      <c r="J50" s="7"/>
      <c r="M50" t="s">
        <v>64</v>
      </c>
      <c r="U50" s="7"/>
      <c r="AR50" s="7"/>
    </row>
    <row r="51" spans="1:44" x14ac:dyDescent="0.45">
      <c r="A51" t="s">
        <v>16</v>
      </c>
      <c r="B51">
        <f>(G21-(D23*D21))/D22</f>
        <v>0.2</v>
      </c>
      <c r="J51" s="7"/>
      <c r="U51" s="7"/>
      <c r="AR51" s="7"/>
    </row>
    <row r="52" spans="1:44" x14ac:dyDescent="0.45">
      <c r="J52" s="7"/>
      <c r="M52" t="s">
        <v>65</v>
      </c>
      <c r="U52" s="7"/>
      <c r="AR52" s="7"/>
    </row>
    <row r="53" spans="1:44" x14ac:dyDescent="0.45">
      <c r="J53" s="7"/>
      <c r="U53" s="7"/>
      <c r="AR53" s="7"/>
    </row>
    <row r="54" spans="1:44" x14ac:dyDescent="0.45">
      <c r="J54" s="7"/>
      <c r="U54" s="7"/>
      <c r="AR54" s="7"/>
    </row>
    <row r="55" spans="1:44" x14ac:dyDescent="0.45">
      <c r="AR55" s="7"/>
    </row>
    <row r="56" spans="1:44" x14ac:dyDescent="0.45">
      <c r="AR56" s="7"/>
    </row>
  </sheetData>
  <mergeCells count="6">
    <mergeCell ref="AC19:AE19"/>
    <mergeCell ref="C27:E27"/>
    <mergeCell ref="G27:J27"/>
    <mergeCell ref="R8:S8"/>
    <mergeCell ref="M35:N35"/>
    <mergeCell ref="X19:A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145D-7EE8-4F0B-9FFB-6DF735533573}">
  <dimension ref="A1"/>
  <sheetViews>
    <sheetView workbookViewId="0">
      <selection activeCell="L18" sqref="L18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Sharma</dc:creator>
  <cp:lastModifiedBy>Mayank Sharma</cp:lastModifiedBy>
  <dcterms:created xsi:type="dcterms:W3CDTF">2024-01-31T17:43:17Z</dcterms:created>
  <dcterms:modified xsi:type="dcterms:W3CDTF">2024-02-01T04:55:04Z</dcterms:modified>
</cp:coreProperties>
</file>