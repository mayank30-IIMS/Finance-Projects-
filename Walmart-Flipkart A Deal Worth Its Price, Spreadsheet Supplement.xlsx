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Backup 2.9.2021 umsawli 17.2.2022\AOP\PGP 2021-23\Term - IV PGP (2021-23)\For IBBV\"/>
    </mc:Choice>
  </mc:AlternateContent>
  <xr:revisionPtr revIDLastSave="0" documentId="8_{A5D31584-71AD-46FD-8541-0A9B9B0C23C9}" xr6:coauthVersionLast="36" xr6:coauthVersionMax="36" xr10:uidLastSave="{00000000-0000-0000-0000-000000000000}"/>
  <bookViews>
    <workbookView xWindow="0" yWindow="0" windowWidth="20490" windowHeight="7545" xr2:uid="{E35D0AE7-D8CC-421F-A120-AA249F98786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9" i="1" l="1"/>
  <c r="F40" i="1" s="1"/>
  <c r="F20" i="1"/>
  <c r="F29" i="1" s="1"/>
  <c r="B38" i="1"/>
  <c r="G39" i="1" l="1"/>
  <c r="G40" i="1" s="1"/>
  <c r="H39" i="1" l="1"/>
  <c r="I39" i="1" s="1"/>
  <c r="J39" i="1" s="1"/>
  <c r="K39" i="1" s="1"/>
  <c r="L39" i="1" s="1"/>
  <c r="M39" i="1" s="1"/>
  <c r="I40" i="1" l="1"/>
  <c r="H40" i="1"/>
  <c r="J40" i="1"/>
  <c r="K40" i="1" l="1"/>
  <c r="L40" i="1" l="1"/>
  <c r="M40" i="1"/>
  <c r="M41" i="1" s="1"/>
  <c r="M42" i="1" s="1"/>
  <c r="M43" i="1" s="1"/>
  <c r="E10" i="1" l="1"/>
  <c r="F9" i="1" l="1"/>
  <c r="E12" i="1"/>
  <c r="D10" i="1"/>
  <c r="D12" i="1" s="1"/>
  <c r="C10" i="1"/>
  <c r="C12" i="1" s="1"/>
  <c r="B10" i="1"/>
  <c r="G9" i="1" l="1"/>
  <c r="G10" i="1" s="1"/>
  <c r="F10" i="1"/>
  <c r="F12" i="1" s="1"/>
  <c r="F15" i="1" s="1"/>
  <c r="G12" i="1"/>
  <c r="G15" i="1" s="1"/>
  <c r="H9" i="1" l="1"/>
  <c r="I9" i="1" l="1"/>
  <c r="H10" i="1"/>
  <c r="H12" i="1" s="1"/>
  <c r="H15" i="1" s="1"/>
  <c r="H18" i="1" s="1"/>
  <c r="H20" i="1" s="1"/>
  <c r="H29" i="1" s="1"/>
  <c r="G18" i="1"/>
  <c r="G20" i="1" s="1"/>
  <c r="G29" i="1" s="1"/>
  <c r="J9" i="1" l="1"/>
  <c r="I10" i="1"/>
  <c r="I12" i="1" s="1"/>
  <c r="I15" i="1" s="1"/>
  <c r="I18" i="1" s="1"/>
  <c r="I20" i="1" s="1"/>
  <c r="I29" i="1" s="1"/>
  <c r="K9" i="1" l="1"/>
  <c r="J10" i="1"/>
  <c r="J12" i="1" s="1"/>
  <c r="J15" i="1" s="1"/>
  <c r="J18" i="1" s="1"/>
  <c r="J20" i="1" s="1"/>
  <c r="J29" i="1" s="1"/>
  <c r="L9" i="1" l="1"/>
  <c r="K10" i="1"/>
  <c r="K12" i="1" s="1"/>
  <c r="K15" i="1" s="1"/>
  <c r="K18" i="1" s="1"/>
  <c r="K20" i="1" s="1"/>
  <c r="K29" i="1" s="1"/>
  <c r="M9" i="1" l="1"/>
  <c r="M10" i="1" s="1"/>
  <c r="M12" i="1" s="1"/>
  <c r="M15" i="1" s="1"/>
  <c r="M18" i="1" s="1"/>
  <c r="M20" i="1" s="1"/>
  <c r="L10" i="1"/>
  <c r="L12" i="1" s="1"/>
  <c r="L15" i="1" s="1"/>
  <c r="L18" i="1" s="1"/>
  <c r="L20" i="1" s="1"/>
  <c r="L29" i="1" s="1"/>
  <c r="M23" i="1" l="1"/>
  <c r="M26" i="1" s="1"/>
  <c r="M29" i="1"/>
  <c r="M30" i="1" s="1"/>
  <c r="M33" i="1" s="1"/>
  <c r="M34" i="1" s="1"/>
</calcChain>
</file>

<file path=xl/sharedStrings.xml><?xml version="1.0" encoding="utf-8"?>
<sst xmlns="http://schemas.openxmlformats.org/spreadsheetml/2006/main" count="58" uniqueCount="58">
  <si>
    <t>Actuals</t>
  </si>
  <si>
    <t>Forecast</t>
  </si>
  <si>
    <t>Assumptions:</t>
  </si>
  <si>
    <t>24.7*</t>
  </si>
  <si>
    <t>Equity infusion</t>
  </si>
  <si>
    <t xml:space="preserve">Effective tax rate % </t>
  </si>
  <si>
    <r>
      <t>TV=</t>
    </r>
    <r>
      <rPr>
        <u/>
        <sz val="11"/>
        <color theme="1"/>
        <rFont val="Arial"/>
        <family val="2"/>
      </rPr>
      <t xml:space="preserve">FCFF </t>
    </r>
    <r>
      <rPr>
        <u/>
        <vertAlign val="subscript"/>
        <sz val="11"/>
        <color theme="1"/>
        <rFont val="Arial"/>
        <family val="2"/>
      </rPr>
      <t>2026</t>
    </r>
    <r>
      <rPr>
        <u/>
        <sz val="11"/>
        <color theme="1"/>
        <rFont val="Arial"/>
        <family val="2"/>
      </rPr>
      <t xml:space="preserve"> * (1+g)</t>
    </r>
  </si>
  <si>
    <t xml:space="preserve">                     (r- g)</t>
  </si>
  <si>
    <t>Growth rate of FCFF</t>
  </si>
  <si>
    <t>TV in INR billion in US$ @ US$1=INR75</t>
  </si>
  <si>
    <t>Calculation of FCFF and TV of Flipkart</t>
  </si>
  <si>
    <r>
      <t xml:space="preserve">Particulars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Year</t>
    </r>
  </si>
  <si>
    <t>Cost of capital / discount rate 15%</t>
  </si>
  <si>
    <t>From F12-M12</t>
  </si>
  <si>
    <t>FCFF = EBITDA(1-tax 30%)+(Dep*Tax rate)-Inv i</t>
  </si>
  <si>
    <t>Discount rate 15% as mentioned in Point 8 and M8</t>
  </si>
  <si>
    <t>Present value</t>
  </si>
  <si>
    <t>Total of F32 to M32</t>
  </si>
  <si>
    <t>Method 2</t>
  </si>
  <si>
    <t>All other assumptions made in above method is retained</t>
  </si>
  <si>
    <t>FCFF</t>
  </si>
  <si>
    <t xml:space="preserve">Less initial investment </t>
  </si>
  <si>
    <t>Revenue forecast 2019-2026 assuming that it grows at 31% CAGR in line with preceeding years</t>
  </si>
  <si>
    <t>Corresponding points in Question 4</t>
  </si>
  <si>
    <t>Calculation of TV in INR billion</t>
  </si>
  <si>
    <t>CAGR of 2015-2018 revenue</t>
  </si>
  <si>
    <t>Net present value (NPV)</t>
  </si>
  <si>
    <t>CAGR in e-commerce  %</t>
  </si>
  <si>
    <t>Market share rate of Flipkart</t>
  </si>
  <si>
    <r>
      <t>USD billion (bn) 20 % growth annually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 revenue</t>
    </r>
  </si>
  <si>
    <t>INR  Bn</t>
  </si>
  <si>
    <t>Revenue from e-commerce in India @INR bn</t>
  </si>
  <si>
    <t>Market share of Flipkart revenue  in INR bn</t>
  </si>
  <si>
    <r>
      <t>Revenue of Flipkart in I</t>
    </r>
    <r>
      <rPr>
        <b/>
        <sz val="11"/>
        <color theme="1"/>
        <rFont val="Calibri"/>
        <family val="2"/>
        <scheme val="minor"/>
      </rPr>
      <t>NR bn</t>
    </r>
  </si>
  <si>
    <t>Add interest INR bn</t>
  </si>
  <si>
    <t>Add depreciation INR bn</t>
  </si>
  <si>
    <t>Revenue of Flipkart in INR bn</t>
  </si>
  <si>
    <t>NPV in US$ bn</t>
  </si>
  <si>
    <t>Investment in working capital % of revenue</t>
  </si>
  <si>
    <t>Point (a)</t>
  </si>
  <si>
    <t xml:space="preserve">Point ( c) </t>
  </si>
  <si>
    <t>Point ( d )</t>
  </si>
  <si>
    <t xml:space="preserve">EBITDA/Operating Income </t>
  </si>
  <si>
    <t>Point  ( f )</t>
  </si>
  <si>
    <t>Point ( b)</t>
  </si>
  <si>
    <t>Point ( e)</t>
  </si>
  <si>
    <t>Point  ( I )</t>
  </si>
  <si>
    <t>Point ( a)</t>
  </si>
  <si>
    <t xml:space="preserve">Point (a) </t>
  </si>
  <si>
    <t>Point  (g)</t>
  </si>
  <si>
    <t>Point ( h)</t>
  </si>
  <si>
    <t>Point (h)</t>
  </si>
  <si>
    <t xml:space="preserve">Investment in long-term assets in INR bn  </t>
  </si>
  <si>
    <t>Initial investment by Walmart USD 16 billion *INR 75</t>
  </si>
  <si>
    <t>Net present value = M33- (USD 16 bn* INR 75)</t>
  </si>
  <si>
    <t>USD billion</t>
  </si>
  <si>
    <t>Copyright @ 2020 Indian School of Business. The publication may not be digitised, photocopied, or otherwise reproduced, posted or transmitted, without the permission of the Indian School of Business.</t>
  </si>
  <si>
    <r>
      <t xml:space="preserve">Professor Saumya Sindhwani, Dr M Kanchan and Lakshmi Appasamy prepared this spreadsheet solely as an aid to instructors in the use of the case </t>
    </r>
    <r>
      <rPr>
        <i/>
        <sz val="9"/>
        <color rgb="FF000000"/>
        <rFont val="Calibri"/>
        <family val="2"/>
      </rPr>
      <t>Walmart-Flipkart: A Deal worth its Price? – ISB186</t>
    </r>
    <r>
      <rPr>
        <sz val="9"/>
        <color rgb="FF000000"/>
        <rFont val="Calibri"/>
        <family val="2"/>
      </rPr>
      <t>.  This case was developed under the aegis of the Centre for Learning and Management Practice, ISB.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</si>
</sst>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3399"/>
      <name val="Calibri"/>
      <family val="2"/>
      <scheme val="minor"/>
    </font>
    <font>
      <sz val="11"/>
      <color rgb="FFFF339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u/>
      <vertAlign val="subscript"/>
      <sz val="11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i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2" fontId="4" fillId="0" borderId="0" xfId="0" applyNumberFormat="1" applyFont="1"/>
    <xf numFmtId="0" fontId="7" fillId="0" borderId="0" xfId="0" applyFont="1"/>
    <xf numFmtId="3" fontId="4" fillId="0" borderId="0" xfId="0" applyNumberFormat="1" applyFont="1"/>
    <xf numFmtId="2" fontId="3" fillId="0" borderId="0" xfId="0" applyNumberFormat="1" applyFont="1"/>
    <xf numFmtId="0" fontId="3" fillId="0" borderId="0" xfId="0" applyFont="1" applyFill="1"/>
    <xf numFmtId="0" fontId="4" fillId="0" borderId="0" xfId="0" applyFont="1" applyFill="1"/>
    <xf numFmtId="0" fontId="0" fillId="0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11" fillId="0" borderId="1" xfId="0" applyFont="1" applyFill="1" applyBorder="1"/>
    <xf numFmtId="9" fontId="0" fillId="0" borderId="1" xfId="0" applyNumberFormat="1" applyFill="1" applyBorder="1"/>
    <xf numFmtId="9" fontId="0" fillId="0" borderId="1" xfId="1" applyFont="1" applyFill="1" applyBorder="1"/>
    <xf numFmtId="9" fontId="4" fillId="0" borderId="1" xfId="1" applyFont="1" applyFill="1" applyBorder="1"/>
    <xf numFmtId="0" fontId="0" fillId="0" borderId="1" xfId="0" applyFont="1" applyFill="1" applyBorder="1"/>
    <xf numFmtId="2" fontId="4" fillId="0" borderId="1" xfId="0" applyNumberFormat="1" applyFont="1" applyFill="1" applyBorder="1"/>
    <xf numFmtId="3" fontId="0" fillId="0" borderId="1" xfId="0" applyNumberFormat="1" applyFill="1" applyBorder="1"/>
    <xf numFmtId="3" fontId="4" fillId="0" borderId="1" xfId="0" applyNumberFormat="1" applyFont="1" applyFill="1" applyBorder="1"/>
    <xf numFmtId="3" fontId="3" fillId="0" borderId="1" xfId="0" applyNumberFormat="1" applyFont="1" applyFill="1" applyBorder="1"/>
    <xf numFmtId="0" fontId="0" fillId="0" borderId="1" xfId="0" applyBorder="1"/>
    <xf numFmtId="3" fontId="7" fillId="0" borderId="1" xfId="0" applyNumberFormat="1" applyFont="1" applyFill="1" applyBorder="1" applyAlignment="1">
      <alignment horizontal="right"/>
    </xf>
    <xf numFmtId="0" fontId="3" fillId="0" borderId="0" xfId="0" applyFont="1"/>
    <xf numFmtId="2" fontId="3" fillId="0" borderId="1" xfId="0" applyNumberFormat="1" applyFont="1" applyFill="1" applyBorder="1"/>
    <xf numFmtId="1" fontId="4" fillId="0" borderId="1" xfId="0" applyNumberFormat="1" applyFont="1" applyFill="1" applyBorder="1"/>
    <xf numFmtId="1" fontId="0" fillId="0" borderId="1" xfId="0" applyNumberFormat="1" applyBorder="1"/>
    <xf numFmtId="0" fontId="0" fillId="0" borderId="0" xfId="0" applyBorder="1"/>
    <xf numFmtId="1" fontId="0" fillId="0" borderId="0" xfId="0" applyNumberFormat="1" applyBorder="1"/>
    <xf numFmtId="0" fontId="0" fillId="3" borderId="1" xfId="0" applyFill="1" applyBorder="1"/>
    <xf numFmtId="0" fontId="4" fillId="3" borderId="1" xfId="0" applyFont="1" applyFill="1" applyBorder="1"/>
    <xf numFmtId="9" fontId="0" fillId="3" borderId="1" xfId="1" applyFont="1" applyFill="1" applyBorder="1"/>
    <xf numFmtId="1" fontId="0" fillId="3" borderId="1" xfId="0" applyNumberFormat="1" applyFill="1" applyBorder="1"/>
    <xf numFmtId="0" fontId="3" fillId="3" borderId="1" xfId="0" applyFont="1" applyFill="1" applyBorder="1"/>
    <xf numFmtId="1" fontId="3" fillId="3" borderId="1" xfId="0" applyNumberFormat="1" applyFont="1" applyFill="1" applyBorder="1"/>
    <xf numFmtId="9" fontId="3" fillId="3" borderId="1" xfId="0" applyNumberFormat="1" applyFont="1" applyFill="1" applyBorder="1"/>
    <xf numFmtId="1" fontId="0" fillId="0" borderId="1" xfId="0" applyNumberFormat="1" applyFill="1" applyBorder="1"/>
    <xf numFmtId="0" fontId="0" fillId="0" borderId="1" xfId="0" applyNumberFormat="1" applyFill="1" applyBorder="1"/>
    <xf numFmtId="0" fontId="13" fillId="3" borderId="2" xfId="0" applyFont="1" applyFill="1" applyBorder="1"/>
    <xf numFmtId="0" fontId="0" fillId="3" borderId="3" xfId="0" applyFill="1" applyBorder="1"/>
    <xf numFmtId="0" fontId="4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" fontId="0" fillId="3" borderId="6" xfId="0" applyNumberFormat="1" applyFill="1" applyBorder="1"/>
    <xf numFmtId="0" fontId="3" fillId="3" borderId="5" xfId="0" applyFont="1" applyFill="1" applyBorder="1"/>
    <xf numFmtId="1" fontId="3" fillId="3" borderId="6" xfId="0" applyNumberFormat="1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164" fontId="3" fillId="3" borderId="9" xfId="0" applyNumberFormat="1" applyFont="1" applyFill="1" applyBorder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Fill="1" applyBorder="1"/>
    <xf numFmtId="0" fontId="0" fillId="0" borderId="0" xfId="0" applyFill="1" applyBorder="1"/>
    <xf numFmtId="0" fontId="0" fillId="0" borderId="14" xfId="0" applyFill="1" applyBorder="1"/>
    <xf numFmtId="0" fontId="0" fillId="0" borderId="5" xfId="0" applyFill="1" applyBorder="1"/>
    <xf numFmtId="0" fontId="11" fillId="0" borderId="6" xfId="0" applyFont="1" applyFill="1" applyBorder="1"/>
    <xf numFmtId="0" fontId="4" fillId="0" borderId="6" xfId="0" applyFont="1" applyFill="1" applyBorder="1"/>
    <xf numFmtId="0" fontId="3" fillId="0" borderId="5" xfId="0" applyFont="1" applyFill="1" applyBorder="1"/>
    <xf numFmtId="9" fontId="4" fillId="0" borderId="6" xfId="1" applyFont="1" applyFill="1" applyBorder="1"/>
    <xf numFmtId="9" fontId="4" fillId="0" borderId="6" xfId="0" applyNumberFormat="1" applyFont="1" applyFill="1" applyBorder="1"/>
    <xf numFmtId="1" fontId="4" fillId="0" borderId="6" xfId="0" applyNumberFormat="1" applyFont="1" applyFill="1" applyBorder="1"/>
    <xf numFmtId="0" fontId="0" fillId="0" borderId="5" xfId="0" applyFont="1" applyFill="1" applyBorder="1"/>
    <xf numFmtId="2" fontId="4" fillId="0" borderId="6" xfId="0" applyNumberFormat="1" applyFont="1" applyFill="1" applyBorder="1"/>
    <xf numFmtId="3" fontId="4" fillId="0" borderId="6" xfId="0" applyNumberFormat="1" applyFont="1" applyFill="1" applyBorder="1"/>
    <xf numFmtId="9" fontId="12" fillId="2" borderId="6" xfId="0" applyNumberFormat="1" applyFont="1" applyFill="1" applyBorder="1"/>
    <xf numFmtId="0" fontId="3" fillId="0" borderId="6" xfId="0" applyFont="1" applyFill="1" applyBorder="1"/>
    <xf numFmtId="0" fontId="8" fillId="0" borderId="5" xfId="0" applyFont="1" applyFill="1" applyBorder="1" applyAlignment="1">
      <alignment horizontal="left" vertical="center" indent="5"/>
    </xf>
    <xf numFmtId="1" fontId="3" fillId="0" borderId="6" xfId="0" applyNumberFormat="1" applyFont="1" applyFill="1" applyBorder="1"/>
    <xf numFmtId="1" fontId="0" fillId="0" borderId="6" xfId="0" applyNumberFormat="1" applyBorder="1"/>
    <xf numFmtId="1" fontId="0" fillId="0" borderId="6" xfId="0" applyNumberFormat="1" applyFill="1" applyBorder="1"/>
    <xf numFmtId="164" fontId="0" fillId="0" borderId="6" xfId="0" applyNumberFormat="1" applyFill="1" applyBorder="1"/>
    <xf numFmtId="1" fontId="3" fillId="0" borderId="6" xfId="0" applyNumberFormat="1" applyFont="1" applyBorder="1"/>
    <xf numFmtId="164" fontId="3" fillId="0" borderId="6" xfId="0" applyNumberFormat="1" applyFont="1" applyFill="1" applyBorder="1"/>
    <xf numFmtId="0" fontId="3" fillId="0" borderId="7" xfId="0" applyFont="1" applyFill="1" applyBorder="1"/>
    <xf numFmtId="0" fontId="0" fillId="0" borderId="8" xfId="0" applyFill="1" applyBorder="1"/>
    <xf numFmtId="0" fontId="4" fillId="0" borderId="8" xfId="0" applyFont="1" applyFill="1" applyBorder="1"/>
    <xf numFmtId="164" fontId="3" fillId="0" borderId="9" xfId="0" applyNumberFormat="1" applyFont="1" applyFill="1" applyBorder="1"/>
    <xf numFmtId="2" fontId="7" fillId="0" borderId="0" xfId="0" applyNumberFormat="1" applyFont="1"/>
    <xf numFmtId="0" fontId="7" fillId="0" borderId="0" xfId="0" applyFont="1" applyFill="1"/>
    <xf numFmtId="3" fontId="7" fillId="0" borderId="0" xfId="0" applyNumberFormat="1" applyFont="1"/>
    <xf numFmtId="0" fontId="14" fillId="0" borderId="0" xfId="0" applyFont="1" applyAlignment="1">
      <alignment horizontal="justify" vertical="center"/>
    </xf>
    <xf numFmtId="0" fontId="0" fillId="0" borderId="0" xfId="0"/>
    <xf numFmtId="0" fontId="14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00080"/>
      <color rgb="FFFF00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10</xdr:col>
      <xdr:colOff>1</xdr:colOff>
      <xdr:row>5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F3F9362-A586-4DD4-941A-CE9907D6F7CF}"/>
            </a:ext>
          </a:extLst>
        </xdr:cNvPr>
        <xdr:cNvGrpSpPr>
          <a:grpSpLocks/>
        </xdr:cNvGrpSpPr>
      </xdr:nvGrpSpPr>
      <xdr:grpSpPr bwMode="auto">
        <a:xfrm>
          <a:off x="1" y="0"/>
          <a:ext cx="6446520" cy="922020"/>
          <a:chOff x="780" y="1386"/>
          <a:chExt cx="9675" cy="1393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884A15F7-8862-4AF6-BB2F-87469A489A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19" y="1386"/>
            <a:ext cx="3836" cy="1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r">
              <a:lnSpc>
                <a:spcPct val="120000"/>
              </a:lnSpc>
              <a:spcBef>
                <a:spcPts val="565"/>
              </a:spcBef>
              <a:spcAft>
                <a:spcPts val="0"/>
              </a:spcAft>
            </a:pPr>
            <a:r>
              <a:rPr lang="en-GB" sz="1400" b="1">
                <a:solidFill>
                  <a:srgbClr val="000000"/>
                </a:solidFill>
                <a:effectLst/>
                <a:latin typeface="Helvetica" panose="020B060402020202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Indian School of Business</a:t>
            </a:r>
            <a:endParaRPr lang="en-IN" sz="1200">
              <a:solidFill>
                <a:srgbClr val="000000"/>
              </a:solidFill>
              <a:effectLst/>
              <a:latin typeface="MinionPro-Regular"/>
              <a:ea typeface="Times New Roman" panose="02020603050405020304" pitchFamily="18" charset="0"/>
              <a:cs typeface="MinionPro-Regular"/>
            </a:endParaRPr>
          </a:p>
          <a:p>
            <a:pPr algn="r">
              <a:lnSpc>
                <a:spcPct val="120000"/>
              </a:lnSpc>
              <a:spcBef>
                <a:spcPts val="565"/>
              </a:spcBef>
              <a:spcAft>
                <a:spcPts val="0"/>
              </a:spcAft>
            </a:pPr>
            <a:r>
              <a:rPr lang="en-GB" sz="800" b="1">
                <a:solidFill>
                  <a:srgbClr val="000000"/>
                </a:solidFill>
                <a:effectLst/>
                <a:latin typeface="Helvetica" panose="020B060402020202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ISB188</a:t>
            </a:r>
            <a:endParaRPr lang="en-IN" sz="1200">
              <a:solidFill>
                <a:srgbClr val="000000"/>
              </a:solidFill>
              <a:effectLst/>
              <a:latin typeface="MinionPro-Regular"/>
              <a:ea typeface="Times New Roman" panose="02020603050405020304" pitchFamily="18" charset="0"/>
              <a:cs typeface="MinionPro-Regular"/>
            </a:endParaRPr>
          </a:p>
          <a:p>
            <a:pPr algn="r">
              <a:lnSpc>
                <a:spcPct val="120000"/>
              </a:lnSpc>
              <a:spcBef>
                <a:spcPts val="565"/>
              </a:spcBef>
              <a:spcAft>
                <a:spcPts val="0"/>
              </a:spcAft>
            </a:pPr>
            <a:r>
              <a:rPr lang="en-GB" sz="800">
                <a:solidFill>
                  <a:srgbClr val="000000"/>
                </a:solidFill>
                <a:effectLst/>
                <a:latin typeface="Helvetica" panose="020B060402020202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Mar 26, 2020</a:t>
            </a:r>
            <a:endParaRPr lang="en-IN" sz="1200">
              <a:solidFill>
                <a:srgbClr val="000000"/>
              </a:solidFill>
              <a:effectLst/>
              <a:latin typeface="MinionPro-Regular"/>
              <a:ea typeface="Times New Roman" panose="02020603050405020304" pitchFamily="18" charset="0"/>
              <a:cs typeface="MinionPro-Regular"/>
            </a:endParaRPr>
          </a:p>
          <a:p>
            <a:pPr algn="r">
              <a:spcBef>
                <a:spcPts val="565"/>
              </a:spcBef>
              <a:spcAft>
                <a:spcPts val="0"/>
              </a:spcAft>
              <a:tabLst>
                <a:tab pos="2743200" algn="ctr"/>
                <a:tab pos="5486400" algn="r"/>
              </a:tabLst>
            </a:pPr>
            <a:r>
              <a:rPr lang="en-US" sz="700">
                <a:effectLst/>
                <a:latin typeface="Arial" panose="020B0604020202020204" pitchFamily="34" charset="0"/>
                <a:ea typeface="Times New Roman" panose="02020603050405020304" pitchFamily="18" charset="0"/>
                <a:cs typeface="Gautami" panose="020B0502040204020203" pitchFamily="34" charset="0"/>
              </a:rPr>
              <a:t> </a:t>
            </a:r>
            <a:endParaRPr lang="en-IN" sz="1200">
              <a:effectLst/>
              <a:latin typeface="Cambria" panose="02040503050406030204" pitchFamily="18" charset="0"/>
              <a:ea typeface="Times New Roman" panose="02020603050405020304" pitchFamily="18" charset="0"/>
              <a:cs typeface="Gautami" panose="020B0502040204020203" pitchFamily="34" charset="0"/>
            </a:endParaRPr>
          </a:p>
        </xdr:txBody>
      </xdr:sp>
      <xdr:grpSp>
        <xdr:nvGrpSpPr>
          <xdr:cNvPr id="4" name="Canvas 31">
            <a:extLst>
              <a:ext uri="{FF2B5EF4-FFF2-40B4-BE49-F238E27FC236}">
                <a16:creationId xmlns:a16="http://schemas.microsoft.com/office/drawing/2014/main" id="{0E69D2B4-35B9-4F03-8356-3E0EC2B02AEA}"/>
              </a:ext>
            </a:extLst>
          </xdr:cNvPr>
          <xdr:cNvGrpSpPr>
            <a:grpSpLocks noChangeAspect="1"/>
          </xdr:cNvGrpSpPr>
        </xdr:nvGrpSpPr>
        <xdr:grpSpPr bwMode="auto">
          <a:xfrm>
            <a:off x="780" y="1386"/>
            <a:ext cx="3514" cy="1393"/>
            <a:chOff x="2794" y="749"/>
            <a:chExt cx="2805" cy="1064"/>
          </a:xfrm>
        </xdr:grpSpPr>
        <xdr:sp macro="" textlink="">
          <xdr:nvSpPr>
            <xdr:cNvPr id="5" name="AutoShape 32">
              <a:extLst>
                <a:ext uri="{FF2B5EF4-FFF2-40B4-BE49-F238E27FC236}">
                  <a16:creationId xmlns:a16="http://schemas.microsoft.com/office/drawing/2014/main" id="{73D7C1AD-9798-4CBA-AF3B-3EBA0C24A886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2794" y="749"/>
              <a:ext cx="2805" cy="106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IN"/>
            </a:p>
          </xdr:txBody>
        </xdr:sp>
        <xdr:pic>
          <xdr:nvPicPr>
            <xdr:cNvPr id="6" name="Picture 5" descr="ISB-logo-Black">
              <a:extLst>
                <a:ext uri="{FF2B5EF4-FFF2-40B4-BE49-F238E27FC236}">
                  <a16:creationId xmlns:a16="http://schemas.microsoft.com/office/drawing/2014/main" id="{404F5057-3FA4-46FA-B0BE-E77816183D9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794" y="801"/>
              <a:ext cx="2533" cy="85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2711-B33D-4017-AB92-A5B71C0FCFB9}">
  <dimension ref="A1:J11"/>
  <sheetViews>
    <sheetView tabSelected="1" workbookViewId="0">
      <selection activeCell="J15" sqref="J15"/>
    </sheetView>
  </sheetViews>
  <sheetFormatPr defaultRowHeight="15" x14ac:dyDescent="0.25"/>
  <sheetData>
    <row r="1" spans="1:10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</row>
    <row r="2" spans="1:10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</row>
    <row r="3" spans="1:10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</row>
    <row r="4" spans="1:10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0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</row>
    <row r="6" spans="1:10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0" ht="57" customHeight="1" x14ac:dyDescent="0.25">
      <c r="A7" s="85" t="s">
        <v>57</v>
      </c>
      <c r="B7" s="84"/>
      <c r="C7" s="84"/>
      <c r="D7" s="84"/>
      <c r="E7" s="84"/>
      <c r="F7" s="84"/>
      <c r="G7" s="84"/>
      <c r="H7" s="84"/>
      <c r="I7" s="84"/>
      <c r="J7" s="84"/>
    </row>
    <row r="8" spans="1:10" ht="39.75" customHeight="1" x14ac:dyDescent="0.25">
      <c r="A8" s="86" t="s">
        <v>56</v>
      </c>
      <c r="B8" s="84"/>
      <c r="C8" s="84"/>
      <c r="D8" s="84"/>
      <c r="E8" s="84"/>
      <c r="F8" s="84"/>
      <c r="G8" s="84"/>
      <c r="H8" s="84"/>
      <c r="I8" s="84"/>
      <c r="J8" s="84"/>
    </row>
    <row r="11" spans="1:10" x14ac:dyDescent="0.25">
      <c r="A11" s="83"/>
    </row>
  </sheetData>
  <mergeCells count="3">
    <mergeCell ref="A1:J6"/>
    <mergeCell ref="A7:J7"/>
    <mergeCell ref="A8:J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890A-BB09-472E-B9DA-3C3728ECEA31}">
  <dimension ref="A1:Z44"/>
  <sheetViews>
    <sheetView workbookViewId="0">
      <selection activeCell="H50" sqref="H50"/>
    </sheetView>
  </sheetViews>
  <sheetFormatPr defaultColWidth="8.875" defaultRowHeight="15" x14ac:dyDescent="0.25"/>
  <cols>
    <col min="1" max="1" width="76.375" customWidth="1"/>
    <col min="13" max="13" width="9.75" bestFit="1" customWidth="1"/>
    <col min="14" max="14" width="32.75" customWidth="1"/>
  </cols>
  <sheetData>
    <row r="1" spans="1:26" x14ac:dyDescent="0.25">
      <c r="A1" s="51" t="s">
        <v>10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26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26" x14ac:dyDescent="0.25">
      <c r="A3" s="57"/>
      <c r="B3" s="11" t="s">
        <v>30</v>
      </c>
      <c r="C3" s="11" t="s">
        <v>0</v>
      </c>
      <c r="D3" s="10"/>
      <c r="E3" s="10"/>
      <c r="F3" s="12" t="s">
        <v>1</v>
      </c>
      <c r="G3" s="13"/>
      <c r="H3" s="13"/>
      <c r="I3" s="13"/>
      <c r="J3" s="13"/>
      <c r="K3" s="13"/>
      <c r="L3" s="13"/>
      <c r="M3" s="58"/>
      <c r="N3" s="24" t="s">
        <v>23</v>
      </c>
    </row>
    <row r="4" spans="1:26" x14ac:dyDescent="0.25">
      <c r="A4" s="57" t="s">
        <v>11</v>
      </c>
      <c r="B4" s="11">
        <v>2015</v>
      </c>
      <c r="C4" s="11">
        <v>2016</v>
      </c>
      <c r="D4" s="11">
        <v>2017</v>
      </c>
      <c r="E4" s="11">
        <v>2018</v>
      </c>
      <c r="F4" s="12">
        <v>2019</v>
      </c>
      <c r="G4" s="12">
        <v>2020</v>
      </c>
      <c r="H4" s="12">
        <v>2021</v>
      </c>
      <c r="I4" s="12">
        <v>2022</v>
      </c>
      <c r="J4" s="12">
        <v>2023</v>
      </c>
      <c r="K4" s="12">
        <v>2024</v>
      </c>
      <c r="L4" s="12">
        <v>2025</v>
      </c>
      <c r="M4" s="59">
        <v>2026</v>
      </c>
      <c r="N4" s="1"/>
      <c r="O4" s="1"/>
      <c r="P4" s="1"/>
    </row>
    <row r="5" spans="1:26" x14ac:dyDescent="0.25">
      <c r="A5" s="60" t="s">
        <v>2</v>
      </c>
      <c r="B5" s="10"/>
      <c r="C5" s="10"/>
      <c r="D5" s="10"/>
      <c r="E5" s="10"/>
      <c r="F5" s="13"/>
      <c r="G5" s="13"/>
      <c r="H5" s="13"/>
      <c r="I5" s="13"/>
      <c r="J5" s="13"/>
      <c r="K5" s="13"/>
      <c r="L5" s="13"/>
      <c r="M5" s="58"/>
    </row>
    <row r="6" spans="1:26" x14ac:dyDescent="0.25">
      <c r="A6" s="57" t="s">
        <v>27</v>
      </c>
      <c r="B6" s="14">
        <v>0.43</v>
      </c>
      <c r="C6" s="10">
        <v>20</v>
      </c>
      <c r="D6" s="10">
        <v>32</v>
      </c>
      <c r="E6" s="10">
        <v>28</v>
      </c>
      <c r="F6" s="12">
        <v>20</v>
      </c>
      <c r="G6" s="12">
        <v>20</v>
      </c>
      <c r="H6" s="12">
        <v>20</v>
      </c>
      <c r="I6" s="12">
        <v>20</v>
      </c>
      <c r="J6" s="12">
        <v>20</v>
      </c>
      <c r="K6" s="12">
        <v>20</v>
      </c>
      <c r="L6" s="12">
        <v>20</v>
      </c>
      <c r="M6" s="59">
        <v>20</v>
      </c>
      <c r="N6" s="5" t="s">
        <v>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57" t="s">
        <v>5</v>
      </c>
      <c r="B7" s="10"/>
      <c r="C7" s="10"/>
      <c r="D7" s="15"/>
      <c r="E7" s="15"/>
      <c r="F7" s="16">
        <v>0.35</v>
      </c>
      <c r="G7" s="16">
        <v>0.35</v>
      </c>
      <c r="H7" s="16">
        <v>0.35</v>
      </c>
      <c r="I7" s="16">
        <v>0.35</v>
      </c>
      <c r="J7" s="16">
        <v>0.35</v>
      </c>
      <c r="K7" s="16">
        <v>0.35</v>
      </c>
      <c r="L7" s="16">
        <v>0.35</v>
      </c>
      <c r="M7" s="61">
        <v>0.35</v>
      </c>
      <c r="N7" s="5" t="s">
        <v>46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57" t="s">
        <v>12</v>
      </c>
      <c r="B8" s="14"/>
      <c r="C8" s="10"/>
      <c r="D8" s="10"/>
      <c r="E8" s="10"/>
      <c r="F8" s="12"/>
      <c r="G8" s="12"/>
      <c r="H8" s="12"/>
      <c r="I8" s="12"/>
      <c r="J8" s="12"/>
      <c r="K8" s="12"/>
      <c r="L8" s="12"/>
      <c r="M8" s="62">
        <v>0.15</v>
      </c>
      <c r="N8" s="5" t="s">
        <v>50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57" t="s">
        <v>29</v>
      </c>
      <c r="B9" s="38">
        <v>20</v>
      </c>
      <c r="C9" s="10">
        <v>39</v>
      </c>
      <c r="D9" s="17">
        <v>38.5</v>
      </c>
      <c r="E9" s="10">
        <v>60</v>
      </c>
      <c r="F9" s="26">
        <f>E9*(1.2)</f>
        <v>72</v>
      </c>
      <c r="G9" s="26">
        <f t="shared" ref="G9:M9" si="0">F9*(1.2)</f>
        <v>86.399999999999991</v>
      </c>
      <c r="H9" s="26">
        <f t="shared" si="0"/>
        <v>103.67999999999999</v>
      </c>
      <c r="I9" s="26">
        <f t="shared" si="0"/>
        <v>124.41599999999998</v>
      </c>
      <c r="J9" s="26">
        <f t="shared" si="0"/>
        <v>149.29919999999998</v>
      </c>
      <c r="K9" s="26">
        <f t="shared" si="0"/>
        <v>179.15903999999998</v>
      </c>
      <c r="L9" s="26">
        <f t="shared" si="0"/>
        <v>214.99084799999997</v>
      </c>
      <c r="M9" s="63">
        <f t="shared" si="0"/>
        <v>257.98901759999995</v>
      </c>
      <c r="N9" s="5" t="s">
        <v>48</v>
      </c>
      <c r="O9" s="1"/>
      <c r="P9" s="1"/>
    </row>
    <row r="10" spans="1:26" x14ac:dyDescent="0.25">
      <c r="A10" s="57" t="s">
        <v>31</v>
      </c>
      <c r="B10" s="10">
        <f>20*66</f>
        <v>1320</v>
      </c>
      <c r="C10" s="10">
        <f>39*69</f>
        <v>2691</v>
      </c>
      <c r="D10" s="10">
        <f>50*67.8</f>
        <v>3390</v>
      </c>
      <c r="E10" s="10">
        <f>64*68.42</f>
        <v>4378.88</v>
      </c>
      <c r="F10" s="26">
        <f>F9*75</f>
        <v>5400</v>
      </c>
      <c r="G10" s="26">
        <f>G9*75</f>
        <v>6479.9999999999991</v>
      </c>
      <c r="H10" s="26">
        <f>H9*75</f>
        <v>7775.9999999999991</v>
      </c>
      <c r="I10" s="26">
        <f t="shared" ref="I10:M10" si="1">I9*75</f>
        <v>9331.1999999999989</v>
      </c>
      <c r="J10" s="26">
        <f t="shared" si="1"/>
        <v>11197.439999999999</v>
      </c>
      <c r="K10" s="26">
        <f t="shared" si="1"/>
        <v>13436.927999999998</v>
      </c>
      <c r="L10" s="26">
        <f t="shared" si="1"/>
        <v>16124.313599999998</v>
      </c>
      <c r="M10" s="63">
        <f t="shared" si="1"/>
        <v>19349.176319999995</v>
      </c>
      <c r="N10" s="80" t="s">
        <v>49</v>
      </c>
      <c r="O10" s="4"/>
      <c r="P10" s="4"/>
    </row>
    <row r="11" spans="1:26" x14ac:dyDescent="0.25">
      <c r="A11" s="57" t="s">
        <v>28</v>
      </c>
      <c r="B11" s="10"/>
      <c r="C11" s="10">
        <v>40</v>
      </c>
      <c r="D11" s="10">
        <v>38.5</v>
      </c>
      <c r="E11" s="10">
        <v>32</v>
      </c>
      <c r="F11" s="12">
        <v>40</v>
      </c>
      <c r="G11" s="12">
        <v>45</v>
      </c>
      <c r="H11" s="12">
        <v>45</v>
      </c>
      <c r="I11" s="12">
        <v>40</v>
      </c>
      <c r="J11" s="12">
        <v>40</v>
      </c>
      <c r="K11" s="12">
        <v>40</v>
      </c>
      <c r="L11" s="12">
        <v>40</v>
      </c>
      <c r="M11" s="59">
        <v>40</v>
      </c>
      <c r="N11" s="5" t="s">
        <v>47</v>
      </c>
      <c r="O11" s="1"/>
      <c r="P11" s="1"/>
    </row>
    <row r="12" spans="1:26" x14ac:dyDescent="0.25">
      <c r="A12" s="57" t="s">
        <v>32</v>
      </c>
      <c r="B12" s="10"/>
      <c r="C12" s="10">
        <f>(C10*C11)/100</f>
        <v>1076.4000000000001</v>
      </c>
      <c r="D12" s="10">
        <f t="shared" ref="D12:M12" si="2">(D10*D11)/100</f>
        <v>1305.1500000000001</v>
      </c>
      <c r="E12" s="10">
        <f t="shared" si="2"/>
        <v>1401.2416000000001</v>
      </c>
      <c r="F12" s="26">
        <f t="shared" si="2"/>
        <v>2160</v>
      </c>
      <c r="G12" s="26">
        <f t="shared" si="2"/>
        <v>2915.9999999999995</v>
      </c>
      <c r="H12" s="26">
        <f t="shared" si="2"/>
        <v>3499.1999999999994</v>
      </c>
      <c r="I12" s="26">
        <f t="shared" si="2"/>
        <v>3732.4799999999996</v>
      </c>
      <c r="J12" s="26">
        <f t="shared" si="2"/>
        <v>4478.9759999999997</v>
      </c>
      <c r="K12" s="26">
        <f t="shared" si="2"/>
        <v>5374.7711999999992</v>
      </c>
      <c r="L12" s="26">
        <f t="shared" si="2"/>
        <v>6449.7254399999983</v>
      </c>
      <c r="M12" s="63">
        <f t="shared" si="2"/>
        <v>7739.6705279999987</v>
      </c>
      <c r="N12" s="80"/>
      <c r="O12" s="4"/>
      <c r="P12" s="4"/>
    </row>
    <row r="13" spans="1:26" x14ac:dyDescent="0.25">
      <c r="A13" s="64" t="s">
        <v>38</v>
      </c>
      <c r="B13" s="10"/>
      <c r="C13" s="10"/>
      <c r="D13" s="10"/>
      <c r="E13" s="10"/>
      <c r="F13" s="18">
        <v>1</v>
      </c>
      <c r="G13" s="18">
        <v>1</v>
      </c>
      <c r="H13" s="18">
        <v>0.5</v>
      </c>
      <c r="I13" s="18">
        <v>0.5</v>
      </c>
      <c r="J13" s="18">
        <v>0.4</v>
      </c>
      <c r="K13" s="18">
        <v>0.3</v>
      </c>
      <c r="L13" s="18">
        <v>0.2</v>
      </c>
      <c r="M13" s="65">
        <v>0.2</v>
      </c>
      <c r="N13" s="5" t="s">
        <v>40</v>
      </c>
      <c r="O13" s="1"/>
      <c r="P13" s="1"/>
    </row>
    <row r="14" spans="1:26" x14ac:dyDescent="0.25">
      <c r="A14" s="64" t="s">
        <v>52</v>
      </c>
      <c r="B14" s="10"/>
      <c r="C14" s="10"/>
      <c r="D14" s="10"/>
      <c r="E14" s="10"/>
      <c r="F14" s="12">
        <v>2</v>
      </c>
      <c r="G14" s="12">
        <v>2</v>
      </c>
      <c r="H14" s="12">
        <v>1</v>
      </c>
      <c r="I14" s="12">
        <v>0.8</v>
      </c>
      <c r="J14" s="12">
        <v>0.8</v>
      </c>
      <c r="K14" s="12">
        <v>0.4</v>
      </c>
      <c r="L14" s="12">
        <v>0.4</v>
      </c>
      <c r="M14" s="59">
        <v>0.2</v>
      </c>
      <c r="N14" s="81" t="s">
        <v>41</v>
      </c>
      <c r="O14" s="9"/>
      <c r="P14" s="9"/>
    </row>
    <row r="15" spans="1:26" x14ac:dyDescent="0.25">
      <c r="A15" s="57" t="s">
        <v>33</v>
      </c>
      <c r="B15" s="19">
        <v>102.458</v>
      </c>
      <c r="C15" s="19">
        <v>154.03299999999999</v>
      </c>
      <c r="D15" s="19">
        <v>198.54599999999999</v>
      </c>
      <c r="E15" s="19">
        <v>301.64400000000001</v>
      </c>
      <c r="F15" s="26">
        <f t="shared" ref="F15:M15" si="3">F12</f>
        <v>2160</v>
      </c>
      <c r="G15" s="26">
        <f t="shared" si="3"/>
        <v>2915.9999999999995</v>
      </c>
      <c r="H15" s="26">
        <f t="shared" si="3"/>
        <v>3499.1999999999994</v>
      </c>
      <c r="I15" s="26">
        <f t="shared" si="3"/>
        <v>3732.4799999999996</v>
      </c>
      <c r="J15" s="26">
        <f t="shared" si="3"/>
        <v>4478.9759999999997</v>
      </c>
      <c r="K15" s="26">
        <f t="shared" si="3"/>
        <v>5374.7711999999992</v>
      </c>
      <c r="L15" s="26">
        <f t="shared" si="3"/>
        <v>6449.7254399999983</v>
      </c>
      <c r="M15" s="63">
        <f t="shared" si="3"/>
        <v>7739.6705279999987</v>
      </c>
      <c r="N15" s="24" t="s">
        <v>13</v>
      </c>
      <c r="O15" s="1"/>
      <c r="P15" s="1"/>
    </row>
    <row r="16" spans="1:26" x14ac:dyDescent="0.25">
      <c r="A16" s="57" t="s">
        <v>34</v>
      </c>
      <c r="B16" s="19">
        <v>40</v>
      </c>
      <c r="C16" s="19">
        <v>80</v>
      </c>
      <c r="D16" s="10">
        <v>43</v>
      </c>
      <c r="E16" s="23" t="s">
        <v>3</v>
      </c>
      <c r="F16" s="12">
        <v>12</v>
      </c>
      <c r="G16" s="12">
        <v>8</v>
      </c>
      <c r="H16" s="12">
        <v>8</v>
      </c>
      <c r="I16" s="12">
        <v>5</v>
      </c>
      <c r="J16" s="12">
        <v>5</v>
      </c>
      <c r="K16" s="12">
        <v>2</v>
      </c>
      <c r="L16" s="12">
        <v>2</v>
      </c>
      <c r="M16" s="59">
        <v>2</v>
      </c>
      <c r="N16" s="5" t="s">
        <v>43</v>
      </c>
      <c r="O16" s="1"/>
      <c r="P16" s="1"/>
      <c r="Q16" s="5"/>
      <c r="R16" s="5"/>
      <c r="S16" s="5"/>
      <c r="T16" s="5"/>
      <c r="U16" s="5"/>
      <c r="V16" s="5"/>
    </row>
    <row r="17" spans="1:18" x14ac:dyDescent="0.25">
      <c r="A17" s="57" t="s">
        <v>35</v>
      </c>
      <c r="B17" s="19">
        <v>1.87</v>
      </c>
      <c r="C17" s="19">
        <v>4.7</v>
      </c>
      <c r="D17" s="10">
        <v>7</v>
      </c>
      <c r="E17" s="19">
        <v>6</v>
      </c>
      <c r="F17" s="20">
        <v>6</v>
      </c>
      <c r="G17" s="20">
        <v>6</v>
      </c>
      <c r="H17" s="20">
        <v>6</v>
      </c>
      <c r="I17" s="20">
        <v>7</v>
      </c>
      <c r="J17" s="20">
        <v>8</v>
      </c>
      <c r="K17" s="20">
        <v>8</v>
      </c>
      <c r="L17" s="20">
        <v>8</v>
      </c>
      <c r="M17" s="66">
        <v>8</v>
      </c>
      <c r="N17" s="82" t="s">
        <v>44</v>
      </c>
      <c r="O17" s="6"/>
      <c r="P17" s="6"/>
    </row>
    <row r="18" spans="1:18" x14ac:dyDescent="0.25">
      <c r="A18" s="60" t="s">
        <v>42</v>
      </c>
      <c r="B18" s="21"/>
      <c r="C18" s="21"/>
      <c r="D18" s="21"/>
      <c r="E18" s="21"/>
      <c r="F18" s="20">
        <v>184</v>
      </c>
      <c r="G18" s="20">
        <f>G15*20/100</f>
        <v>583.19999999999993</v>
      </c>
      <c r="H18" s="26">
        <f>H15*22/100</f>
        <v>769.82399999999984</v>
      </c>
      <c r="I18" s="26">
        <f>I15*28/100</f>
        <v>1045.0944</v>
      </c>
      <c r="J18" s="26">
        <f>J15*30/100</f>
        <v>1343.6928</v>
      </c>
      <c r="K18" s="26">
        <f>K15*30/100</f>
        <v>1612.4313599999996</v>
      </c>
      <c r="L18" s="26">
        <f>L15*30/100</f>
        <v>1934.9176319999997</v>
      </c>
      <c r="M18" s="63">
        <f>M15*30/100</f>
        <v>2321.9011583999995</v>
      </c>
      <c r="N18" s="80" t="s">
        <v>45</v>
      </c>
      <c r="O18" s="7"/>
      <c r="P18" s="7"/>
      <c r="Q18" s="8"/>
      <c r="R18" s="8"/>
    </row>
    <row r="19" spans="1:18" x14ac:dyDescent="0.25">
      <c r="A19" s="57" t="s">
        <v>4</v>
      </c>
      <c r="B19" s="10"/>
      <c r="C19" s="10"/>
      <c r="D19" s="10"/>
      <c r="E19" s="10">
        <v>2</v>
      </c>
      <c r="F19" s="13"/>
      <c r="G19" s="13"/>
      <c r="H19" s="13"/>
      <c r="I19" s="13"/>
      <c r="J19" s="13"/>
      <c r="K19" s="13"/>
      <c r="L19" s="13"/>
      <c r="M19" s="58"/>
    </row>
    <row r="20" spans="1:18" x14ac:dyDescent="0.25">
      <c r="A20" s="60" t="s">
        <v>14</v>
      </c>
      <c r="B20" s="11"/>
      <c r="C20" s="11"/>
      <c r="D20" s="11"/>
      <c r="E20" s="11"/>
      <c r="F20" s="26">
        <f t="shared" ref="F20:M20" si="4">F18*(1-F7)+(F17*F7)-(F14)-(F13)</f>
        <v>118.7</v>
      </c>
      <c r="G20" s="26">
        <f t="shared" si="4"/>
        <v>378.18</v>
      </c>
      <c r="H20" s="26">
        <f t="shared" si="4"/>
        <v>500.98559999999992</v>
      </c>
      <c r="I20" s="26">
        <f t="shared" si="4"/>
        <v>680.46136000000013</v>
      </c>
      <c r="J20" s="26">
        <f t="shared" si="4"/>
        <v>875.0003200000001</v>
      </c>
      <c r="K20" s="26">
        <f t="shared" si="4"/>
        <v>1050.1803839999998</v>
      </c>
      <c r="L20" s="26">
        <f t="shared" si="4"/>
        <v>1259.8964607999997</v>
      </c>
      <c r="M20" s="63">
        <f t="shared" si="4"/>
        <v>1511.6357529599995</v>
      </c>
    </row>
    <row r="21" spans="1:18" x14ac:dyDescent="0.25">
      <c r="A21" s="57" t="s">
        <v>8</v>
      </c>
      <c r="B21" s="10"/>
      <c r="C21" s="10"/>
      <c r="D21" s="10"/>
      <c r="E21" s="10"/>
      <c r="F21" s="13"/>
      <c r="G21" s="13"/>
      <c r="H21" s="13"/>
      <c r="I21" s="13"/>
      <c r="J21" s="13"/>
      <c r="K21" s="13"/>
      <c r="L21" s="13"/>
      <c r="M21" s="67">
        <v>0.1</v>
      </c>
      <c r="N21" s="2" t="s">
        <v>51</v>
      </c>
    </row>
    <row r="22" spans="1:18" x14ac:dyDescent="0.25">
      <c r="A22" s="57" t="s">
        <v>24</v>
      </c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1"/>
      <c r="M22" s="68"/>
    </row>
    <row r="23" spans="1:18" ht="18.75" x14ac:dyDescent="0.25">
      <c r="A23" s="69" t="s">
        <v>6</v>
      </c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70">
        <f>(M20)*(1+M21)/(M8-M21)</f>
        <v>33255.986565120002</v>
      </c>
    </row>
    <row r="24" spans="1:18" x14ac:dyDescent="0.25">
      <c r="A24" s="69" t="s">
        <v>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71"/>
    </row>
    <row r="25" spans="1:18" x14ac:dyDescent="0.25">
      <c r="A25" s="5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72"/>
    </row>
    <row r="26" spans="1:18" x14ac:dyDescent="0.25">
      <c r="A26" s="57" t="s">
        <v>9</v>
      </c>
      <c r="B26" s="2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70">
        <f>M23/75</f>
        <v>443.41315420160004</v>
      </c>
    </row>
    <row r="27" spans="1:18" x14ac:dyDescent="0.25">
      <c r="A27" s="5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73"/>
    </row>
    <row r="28" spans="1:18" x14ac:dyDescent="0.25">
      <c r="A28" s="57" t="s">
        <v>15</v>
      </c>
      <c r="B28" s="19"/>
      <c r="C28" s="19"/>
      <c r="D28" s="19"/>
      <c r="E28" s="19"/>
      <c r="F28" s="37">
        <v>0.87</v>
      </c>
      <c r="G28" s="37">
        <v>0.75600000000000001</v>
      </c>
      <c r="H28" s="37">
        <v>0.65800000000000003</v>
      </c>
      <c r="I28" s="37">
        <v>0.57199999999999995</v>
      </c>
      <c r="J28" s="37">
        <v>0.497</v>
      </c>
      <c r="K28" s="37">
        <v>0.432</v>
      </c>
      <c r="L28" s="37">
        <v>0.376</v>
      </c>
      <c r="M28" s="72">
        <v>0.32700000000000001</v>
      </c>
    </row>
    <row r="29" spans="1:18" x14ac:dyDescent="0.25">
      <c r="A29" s="57" t="s">
        <v>16</v>
      </c>
      <c r="B29" s="10"/>
      <c r="C29" s="10"/>
      <c r="D29" s="10"/>
      <c r="E29" s="10"/>
      <c r="F29" s="27">
        <f>F20*F28</f>
        <v>103.26900000000001</v>
      </c>
      <c r="G29" s="27">
        <f>G20*G28</f>
        <v>285.90408000000002</v>
      </c>
      <c r="H29" s="27">
        <f t="shared" ref="H29:M29" si="5">H20*H28</f>
        <v>329.64852479999996</v>
      </c>
      <c r="I29" s="27">
        <f t="shared" si="5"/>
        <v>389.22389792000001</v>
      </c>
      <c r="J29" s="27">
        <f t="shared" si="5"/>
        <v>434.87515904000003</v>
      </c>
      <c r="K29" s="27">
        <f t="shared" si="5"/>
        <v>453.67792588799989</v>
      </c>
      <c r="L29" s="27">
        <f t="shared" si="5"/>
        <v>473.72106926079988</v>
      </c>
      <c r="M29" s="71">
        <f t="shared" si="5"/>
        <v>494.30489121791987</v>
      </c>
    </row>
    <row r="30" spans="1:18" x14ac:dyDescent="0.25">
      <c r="A30" s="60" t="s">
        <v>17</v>
      </c>
      <c r="B30" s="10"/>
      <c r="C30" s="10"/>
      <c r="D30" s="10"/>
      <c r="E30" s="10"/>
      <c r="F30" s="37"/>
      <c r="G30" s="37"/>
      <c r="H30" s="37"/>
      <c r="I30" s="37"/>
      <c r="J30" s="37"/>
      <c r="K30" s="37"/>
      <c r="L30" s="37"/>
      <c r="M30" s="74">
        <f>SUM(F29:M29)</f>
        <v>2964.6245481267197</v>
      </c>
    </row>
    <row r="31" spans="1:18" x14ac:dyDescent="0.25">
      <c r="A31" s="57" t="s">
        <v>53</v>
      </c>
      <c r="B31" s="2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75">
        <v>1200</v>
      </c>
    </row>
    <row r="32" spans="1:18" x14ac:dyDescent="0.25">
      <c r="A32" s="5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75"/>
    </row>
    <row r="33" spans="1:13" x14ac:dyDescent="0.25">
      <c r="A33" s="60" t="s">
        <v>54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75">
        <f>M30-M31</f>
        <v>1764.6245481267197</v>
      </c>
    </row>
    <row r="34" spans="1:13" ht="15.75" thickBot="1" x14ac:dyDescent="0.3">
      <c r="A34" s="76" t="s">
        <v>55</v>
      </c>
      <c r="B34" s="77"/>
      <c r="C34" s="77"/>
      <c r="D34" s="77"/>
      <c r="E34" s="77"/>
      <c r="F34" s="78"/>
      <c r="G34" s="78"/>
      <c r="H34" s="78"/>
      <c r="I34" s="77"/>
      <c r="J34" s="77"/>
      <c r="K34" s="77"/>
      <c r="L34" s="77"/>
      <c r="M34" s="79">
        <f>M33/75</f>
        <v>23.528327308356264</v>
      </c>
    </row>
    <row r="35" spans="1:13" ht="26.25" x14ac:dyDescent="0.4">
      <c r="A35" s="39" t="s">
        <v>18</v>
      </c>
      <c r="B35" s="40"/>
      <c r="C35" s="40"/>
      <c r="D35" s="40"/>
      <c r="E35" s="40"/>
      <c r="F35" s="41"/>
      <c r="G35" s="41"/>
      <c r="H35" s="41"/>
      <c r="I35" s="40"/>
      <c r="J35" s="40"/>
      <c r="K35" s="40"/>
      <c r="L35" s="40"/>
      <c r="M35" s="42"/>
    </row>
    <row r="36" spans="1:13" x14ac:dyDescent="0.25">
      <c r="A36" s="43" t="s">
        <v>19</v>
      </c>
      <c r="B36" s="30"/>
      <c r="C36" s="30"/>
      <c r="D36" s="30"/>
      <c r="E36" s="30"/>
      <c r="F36" s="31"/>
      <c r="G36" s="31"/>
      <c r="H36" s="31"/>
      <c r="I36" s="30"/>
      <c r="J36" s="30"/>
      <c r="K36" s="30"/>
      <c r="L36" s="30"/>
      <c r="M36" s="44"/>
    </row>
    <row r="37" spans="1:13" x14ac:dyDescent="0.25">
      <c r="A37" s="43" t="s">
        <v>36</v>
      </c>
      <c r="B37" s="30">
        <v>102</v>
      </c>
      <c r="C37" s="30">
        <v>154</v>
      </c>
      <c r="D37" s="30">
        <v>199</v>
      </c>
      <c r="E37" s="30">
        <v>302</v>
      </c>
      <c r="F37" s="30"/>
      <c r="G37" s="30"/>
      <c r="H37" s="30"/>
      <c r="I37" s="30"/>
      <c r="J37" s="30"/>
      <c r="K37" s="30"/>
      <c r="L37" s="30"/>
      <c r="M37" s="44"/>
    </row>
    <row r="38" spans="1:13" x14ac:dyDescent="0.25">
      <c r="A38" s="43" t="s">
        <v>25</v>
      </c>
      <c r="B38" s="32">
        <f>(302/102)^(1/4)-1</f>
        <v>0.31175187244308766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44"/>
    </row>
    <row r="39" spans="1:13" x14ac:dyDescent="0.25">
      <c r="A39" s="43" t="s">
        <v>22</v>
      </c>
      <c r="B39" s="30"/>
      <c r="C39" s="30"/>
      <c r="D39" s="30"/>
      <c r="E39" s="30"/>
      <c r="F39" s="33">
        <f>E37*(1+31/100)</f>
        <v>395.62</v>
      </c>
      <c r="G39" s="33">
        <f>F39*1.31</f>
        <v>518.26220000000001</v>
      </c>
      <c r="H39" s="33">
        <f t="shared" ref="H39:M39" si="6">G39*1.31</f>
        <v>678.92348200000004</v>
      </c>
      <c r="I39" s="33">
        <f t="shared" si="6"/>
        <v>889.38976142000013</v>
      </c>
      <c r="J39" s="33">
        <f t="shared" si="6"/>
        <v>1165.1005874602001</v>
      </c>
      <c r="K39" s="33">
        <f t="shared" si="6"/>
        <v>1526.2817695728622</v>
      </c>
      <c r="L39" s="33">
        <f t="shared" si="6"/>
        <v>1999.4291181404496</v>
      </c>
      <c r="M39" s="45">
        <f t="shared" si="6"/>
        <v>2619.2521447639892</v>
      </c>
    </row>
    <row r="40" spans="1:13" s="24" customFormat="1" x14ac:dyDescent="0.25">
      <c r="A40" s="46" t="s">
        <v>20</v>
      </c>
      <c r="B40" s="36"/>
      <c r="C40" s="34"/>
      <c r="D40" s="34"/>
      <c r="E40" s="34"/>
      <c r="F40" s="35">
        <f t="shared" ref="F40:M40" si="7">F39*(1-F7)+(F17*F7)-(F13)-(F14)</f>
        <v>256.25300000000004</v>
      </c>
      <c r="G40" s="35">
        <f t="shared" si="7"/>
        <v>335.97043000000002</v>
      </c>
      <c r="H40" s="35">
        <f t="shared" si="7"/>
        <v>441.90026330000006</v>
      </c>
      <c r="I40" s="35">
        <f t="shared" si="7"/>
        <v>579.25334492300021</v>
      </c>
      <c r="J40" s="35">
        <f t="shared" si="7"/>
        <v>758.91538184913009</v>
      </c>
      <c r="K40" s="35">
        <f t="shared" si="7"/>
        <v>994.1831502223605</v>
      </c>
      <c r="L40" s="35">
        <f t="shared" si="7"/>
        <v>1301.8289267912921</v>
      </c>
      <c r="M40" s="47">
        <f t="shared" si="7"/>
        <v>1704.9138940965929</v>
      </c>
    </row>
    <row r="41" spans="1:13" x14ac:dyDescent="0.25">
      <c r="A41" s="43" t="s">
        <v>26</v>
      </c>
      <c r="B41" s="30"/>
      <c r="C41" s="30"/>
      <c r="D41" s="30"/>
      <c r="E41" s="30"/>
      <c r="F41" s="33"/>
      <c r="G41" s="33"/>
      <c r="H41" s="33"/>
      <c r="I41" s="33"/>
      <c r="J41" s="33"/>
      <c r="K41" s="33"/>
      <c r="L41" s="33"/>
      <c r="M41" s="45">
        <f>NPV(M8,F40:M40)</f>
        <v>2952.4901575178624</v>
      </c>
    </row>
    <row r="42" spans="1:13" x14ac:dyDescent="0.25">
      <c r="A42" s="43" t="s">
        <v>21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45">
        <f>M41-M31</f>
        <v>1752.4901575178624</v>
      </c>
    </row>
    <row r="43" spans="1:13" s="24" customFormat="1" ht="15.75" thickBot="1" x14ac:dyDescent="0.3">
      <c r="A43" s="48" t="s">
        <v>37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50">
        <f>M42/75</f>
        <v>23.366535433571499</v>
      </c>
    </row>
    <row r="44" spans="1:13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Jessyca</cp:lastModifiedBy>
  <cp:lastPrinted>2022-07-13T06:33:52Z</cp:lastPrinted>
  <dcterms:created xsi:type="dcterms:W3CDTF">2019-04-28T12:10:29Z</dcterms:created>
  <dcterms:modified xsi:type="dcterms:W3CDTF">2022-07-13T06:34:04Z</dcterms:modified>
</cp:coreProperties>
</file>