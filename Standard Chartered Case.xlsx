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eba\Downloads\"/>
    </mc:Choice>
  </mc:AlternateContent>
  <xr:revisionPtr revIDLastSave="0" documentId="13_ncr:1_{6EC3D6D9-C735-40CA-9962-990A35676824}" xr6:coauthVersionLast="47" xr6:coauthVersionMax="47" xr10:uidLastSave="{00000000-0000-0000-0000-000000000000}"/>
  <bookViews>
    <workbookView xWindow="-108" yWindow="-108" windowWidth="23256" windowHeight="12456" xr2:uid="{B244CFA2-2E74-47E5-B39A-AC88D07D34F4}"/>
  </bookViews>
  <sheets>
    <sheet name="Valuation" sheetId="1" r:id="rId1"/>
    <sheet name="FCFE" sheetId="2" r:id="rId2"/>
    <sheet name="DDM" sheetId="3" r:id="rId3"/>
    <sheet name="Comparab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K4" i="4"/>
  <c r="L4" i="4"/>
  <c r="K5" i="4"/>
  <c r="K7" i="4" s="1"/>
  <c r="L5" i="4"/>
  <c r="K6" i="4"/>
  <c r="L6" i="4"/>
  <c r="L7" i="4"/>
  <c r="B22" i="1"/>
  <c r="H4" i="1"/>
  <c r="B24" i="1"/>
  <c r="J6" i="4"/>
  <c r="J5" i="4"/>
  <c r="J4" i="4"/>
  <c r="K8" i="3"/>
  <c r="J8" i="3"/>
  <c r="I8" i="3"/>
  <c r="H8" i="3"/>
  <c r="G8" i="3"/>
  <c r="F8" i="3"/>
  <c r="E8" i="3"/>
  <c r="D8" i="3"/>
  <c r="L7" i="3"/>
  <c r="L8" i="3" s="1"/>
  <c r="M34" i="2"/>
  <c r="K34" i="2"/>
  <c r="J34" i="2"/>
  <c r="I34" i="2"/>
  <c r="H34" i="2"/>
  <c r="G34" i="2"/>
  <c r="F34" i="2"/>
  <c r="E34" i="2"/>
  <c r="D34" i="2"/>
  <c r="C34" i="2"/>
  <c r="C5" i="2"/>
  <c r="C6" i="2" s="1"/>
  <c r="H6" i="1"/>
  <c r="C15" i="1"/>
  <c r="H5" i="1"/>
  <c r="B23" i="1" l="1"/>
  <c r="C10" i="3"/>
  <c r="B21" i="1" s="1"/>
  <c r="C10" i="2"/>
  <c r="D5" i="2"/>
  <c r="E5" i="2" s="1"/>
  <c r="C12" i="2"/>
  <c r="C7" i="2"/>
  <c r="C8" i="2"/>
  <c r="E10" i="2" l="1"/>
  <c r="E8" i="2"/>
  <c r="E12" i="2"/>
  <c r="C9" i="2"/>
  <c r="C11" i="2" s="1"/>
  <c r="C13" i="2" s="1"/>
  <c r="D6" i="2"/>
  <c r="D7" i="2" s="1"/>
  <c r="D9" i="2" s="1"/>
  <c r="D11" i="2" s="1"/>
  <c r="D13" i="2" s="1"/>
  <c r="D10" i="2"/>
  <c r="D12" i="2"/>
  <c r="D8" i="2"/>
  <c r="E6" i="2"/>
  <c r="E7" i="2" s="1"/>
  <c r="F5" i="2"/>
  <c r="E9" i="2" l="1"/>
  <c r="E11" i="2" s="1"/>
  <c r="E13" i="2" s="1"/>
  <c r="E14" i="2"/>
  <c r="E15" i="2" s="1"/>
  <c r="D14" i="2"/>
  <c r="D15" i="2" s="1"/>
  <c r="C14" i="2"/>
  <c r="C15" i="2"/>
  <c r="F7" i="2"/>
  <c r="F9" i="2" s="1"/>
  <c r="F11" i="2" s="1"/>
  <c r="F12" i="2"/>
  <c r="F8" i="2"/>
  <c r="F10" i="2"/>
  <c r="G5" i="2"/>
  <c r="F6" i="2"/>
  <c r="D27" i="2" l="1"/>
  <c r="D32" i="2" s="1"/>
  <c r="D16" i="2"/>
  <c r="E27" i="2"/>
  <c r="E32" i="2" s="1"/>
  <c r="E16" i="2"/>
  <c r="C16" i="2"/>
  <c r="C27" i="2"/>
  <c r="C32" i="2" s="1"/>
  <c r="G12" i="2"/>
  <c r="G8" i="2"/>
  <c r="G10" i="2"/>
  <c r="F13" i="2"/>
  <c r="H5" i="2"/>
  <c r="G6" i="2"/>
  <c r="G7" i="2" s="1"/>
  <c r="G9" i="2" s="1"/>
  <c r="G11" i="2" s="1"/>
  <c r="G13" i="2" s="1"/>
  <c r="G14" i="2" l="1"/>
  <c r="G15" i="2" s="1"/>
  <c r="H10" i="2"/>
  <c r="H12" i="2"/>
  <c r="H8" i="2"/>
  <c r="H7" i="2"/>
  <c r="H9" i="2" s="1"/>
  <c r="H11" i="2" s="1"/>
  <c r="H13" i="2" s="1"/>
  <c r="F14" i="2"/>
  <c r="F15" i="2" s="1"/>
  <c r="I5" i="2"/>
  <c r="H6" i="2"/>
  <c r="F27" i="2" l="1"/>
  <c r="F32" i="2" s="1"/>
  <c r="F16" i="2"/>
  <c r="H14" i="2"/>
  <c r="H15" i="2" s="1"/>
  <c r="I12" i="2"/>
  <c r="I8" i="2"/>
  <c r="I10" i="2"/>
  <c r="G27" i="2"/>
  <c r="G32" i="2" s="1"/>
  <c r="G16" i="2"/>
  <c r="J5" i="2"/>
  <c r="I6" i="2"/>
  <c r="I7" i="2" s="1"/>
  <c r="I9" i="2" s="1"/>
  <c r="I11" i="2" s="1"/>
  <c r="H27" i="2" l="1"/>
  <c r="H32" i="2" s="1"/>
  <c r="H16" i="2"/>
  <c r="I13" i="2"/>
  <c r="J8" i="2"/>
  <c r="J10" i="2"/>
  <c r="J12" i="2"/>
  <c r="K5" i="2"/>
  <c r="J6" i="2"/>
  <c r="J7" i="2" s="1"/>
  <c r="J9" i="2" s="1"/>
  <c r="J11" i="2" s="1"/>
  <c r="J13" i="2" s="1"/>
  <c r="J14" i="2" l="1"/>
  <c r="J15" i="2" s="1"/>
  <c r="K8" i="2"/>
  <c r="K10" i="2"/>
  <c r="K12" i="2"/>
  <c r="I14" i="2"/>
  <c r="I15" i="2"/>
  <c r="L5" i="2"/>
  <c r="K6" i="2"/>
  <c r="K7" i="2" s="1"/>
  <c r="K9" i="2" s="1"/>
  <c r="K11" i="2" s="1"/>
  <c r="K13" i="2" s="1"/>
  <c r="K14" i="2" l="1"/>
  <c r="K15" i="2" s="1"/>
  <c r="J16" i="2"/>
  <c r="J27" i="2"/>
  <c r="J32" i="2" s="1"/>
  <c r="L10" i="2"/>
  <c r="L8" i="2"/>
  <c r="L7" i="2"/>
  <c r="L9" i="2" s="1"/>
  <c r="L11" i="2" s="1"/>
  <c r="L13" i="2" s="1"/>
  <c r="L12" i="2"/>
  <c r="I27" i="2"/>
  <c r="I32" i="2" s="1"/>
  <c r="I16" i="2"/>
  <c r="M5" i="2"/>
  <c r="L6" i="2"/>
  <c r="K16" i="2" l="1"/>
  <c r="K27" i="2"/>
  <c r="K32" i="2" s="1"/>
  <c r="L14" i="2"/>
  <c r="L15" i="2"/>
  <c r="M6" i="2"/>
  <c r="M7" i="2" s="1"/>
  <c r="M10" i="2"/>
  <c r="M12" i="2"/>
  <c r="M8" i="2"/>
  <c r="M9" i="2" l="1"/>
  <c r="M11" i="2" s="1"/>
  <c r="M13" i="2" s="1"/>
  <c r="M14" i="2"/>
  <c r="M15" i="2" s="1"/>
  <c r="L27" i="2"/>
  <c r="L32" i="2" s="1"/>
  <c r="L33" i="2" s="1"/>
  <c r="L34" i="2" s="1"/>
  <c r="C36" i="2" s="1"/>
  <c r="C37" i="2" s="1"/>
  <c r="L16" i="2"/>
  <c r="M27" i="2" l="1"/>
  <c r="M32" i="2" s="1"/>
  <c r="M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Ruby Mishra</author>
  </authors>
  <commentList>
    <comment ref="K4" authorId="0" shapeId="0" xr:uid="{8F5F5436-6234-402A-A480-F5C4B03D5100}">
      <text>
        <r>
          <rPr>
            <b/>
            <sz val="9"/>
            <color indexed="81"/>
            <rFont val="Tahoma"/>
            <family val="2"/>
          </rPr>
          <t>Ruby Mishra:</t>
        </r>
        <r>
          <rPr>
            <sz val="9"/>
            <color indexed="81"/>
            <rFont val="Tahoma"/>
            <family val="2"/>
          </rPr>
          <t xml:space="preserve">
Use Forecasting Year ka EPS</t>
        </r>
      </text>
    </comment>
  </commentList>
</comments>
</file>

<file path=xl/sharedStrings.xml><?xml version="1.0" encoding="utf-8"?>
<sst xmlns="http://schemas.openxmlformats.org/spreadsheetml/2006/main" count="118" uniqueCount="86">
  <si>
    <t>Assumptions</t>
  </si>
  <si>
    <t>Interest Income in 2013</t>
  </si>
  <si>
    <t>USD Million</t>
  </si>
  <si>
    <t>Interest Expense</t>
  </si>
  <si>
    <t>Non Interest Expense</t>
  </si>
  <si>
    <t>Provision for Credit Losses</t>
  </si>
  <si>
    <t>Non Interest Income</t>
  </si>
  <si>
    <t>Income Taxes</t>
  </si>
  <si>
    <t>Ordinary Shares Outstanding</t>
  </si>
  <si>
    <t>Million</t>
  </si>
  <si>
    <t>Equity Beta</t>
  </si>
  <si>
    <t>Market Risk Premium</t>
  </si>
  <si>
    <t>Dividend Per Share in 2014</t>
  </si>
  <si>
    <t>UK Government Bond Yield</t>
  </si>
  <si>
    <t>USD</t>
  </si>
  <si>
    <t>Book Value Per Share</t>
  </si>
  <si>
    <t>Share Price</t>
  </si>
  <si>
    <t>GBP</t>
  </si>
  <si>
    <t>Return on Equity</t>
  </si>
  <si>
    <t>Market Capitalization</t>
  </si>
  <si>
    <t>Book Value of Equity</t>
  </si>
  <si>
    <t>Total Debt</t>
  </si>
  <si>
    <t>Total Cash</t>
  </si>
  <si>
    <t>Interest Income Growth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</si>
  <si>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</si>
  <si>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</si>
  <si>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</si>
  <si>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</si>
  <si>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</si>
  <si>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</si>
  <si>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</si>
  <si>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</si>
  <si>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</si>
  <si>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</si>
  <si>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</si>
  <si>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Interest Income</t>
  </si>
  <si>
    <t>Net interest Income</t>
  </si>
  <si>
    <t>Non - Interest Income</t>
  </si>
  <si>
    <t>Total income</t>
  </si>
  <si>
    <t>Provision for credit losses</t>
  </si>
  <si>
    <t>Gross Income</t>
  </si>
  <si>
    <t>Non-interest Expense</t>
  </si>
  <si>
    <t>Profit Before Tax</t>
  </si>
  <si>
    <t>Income Tax</t>
  </si>
  <si>
    <t>INCOME STATEMENT FOR STANDARD CHARTERED BANK (US$ Million)</t>
  </si>
  <si>
    <t>Net Income</t>
  </si>
  <si>
    <t>EPS</t>
  </si>
  <si>
    <t>The valuation assumes that capital spending &amp; net operating working capital are negligible</t>
  </si>
  <si>
    <t>No adjustments for outstanding warrants &amp; share options are made in calculating value per share</t>
  </si>
  <si>
    <t>Terminal Growth rate</t>
  </si>
  <si>
    <t>Depreciation</t>
  </si>
  <si>
    <t>Capital Expenditure</t>
  </si>
  <si>
    <t>Increase in WC</t>
  </si>
  <si>
    <t>Net Borrowings</t>
  </si>
  <si>
    <t>FCFE</t>
  </si>
  <si>
    <t>Terminal Value of the Firm</t>
  </si>
  <si>
    <t>DISCOUNTED CASH FLOW TO EQUITY VALUATION (US$ Million)</t>
  </si>
  <si>
    <t>FCFE + Terminal value</t>
  </si>
  <si>
    <t>Discounted FCFE at the end of 2014</t>
  </si>
  <si>
    <t>Value per Share</t>
  </si>
  <si>
    <t>Dividend Growth rate</t>
  </si>
  <si>
    <t>Dividend Per Share</t>
  </si>
  <si>
    <t>Terminal value</t>
  </si>
  <si>
    <t>Dividend + Terminal Value</t>
  </si>
  <si>
    <t>DISCOUNTED FREE CASH FLOW VALUATION</t>
  </si>
  <si>
    <t>Discounted Dividend value Per Share</t>
  </si>
  <si>
    <t>P/E</t>
  </si>
  <si>
    <t>P/B</t>
  </si>
  <si>
    <t>SCB</t>
  </si>
  <si>
    <t>RBS</t>
  </si>
  <si>
    <t>Barclays</t>
  </si>
  <si>
    <t>HSBC</t>
  </si>
  <si>
    <t>UBS</t>
  </si>
  <si>
    <t>ING</t>
  </si>
  <si>
    <t>Deutsche Bank</t>
  </si>
  <si>
    <t>Average</t>
  </si>
  <si>
    <t>Price Per Share (SCB Multiples)</t>
  </si>
  <si>
    <t>P/S</t>
  </si>
  <si>
    <t>Discounted FCFE Method</t>
  </si>
  <si>
    <t>DDM</t>
  </si>
  <si>
    <t>Comprables (P/E)</t>
  </si>
  <si>
    <t>Comprables (P/S)</t>
  </si>
  <si>
    <t>Comprables (P/B)</t>
  </si>
  <si>
    <t>Average Comparables</t>
  </si>
  <si>
    <t>Price Per Share (Comparables)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</si>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</sst>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1" fillId="0" borderId="10" xfId="0" applyFont="1" applyBorder="1"/>
    <xf numFmtId="0" fontId="1" fillId="0" borderId="12" xfId="0" applyFont="1" applyBorder="1"/>
    <xf numFmtId="39" fontId="0" fillId="0" borderId="1" xfId="0" applyNumberFormat="1" applyBorder="1"/>
    <xf numFmtId="39" fontId="0" fillId="0" borderId="11" xfId="0" applyNumberFormat="1" applyBorder="1"/>
    <xf numFmtId="39" fontId="1" fillId="0" borderId="1" xfId="0" applyNumberFormat="1" applyFont="1" applyBorder="1"/>
    <xf numFmtId="39" fontId="0" fillId="0" borderId="13" xfId="0" applyNumberFormat="1" applyBorder="1"/>
    <xf numFmtId="39" fontId="0" fillId="0" borderId="14" xfId="0" applyNumberFormat="1" applyBorder="1"/>
    <xf numFmtId="39" fontId="1" fillId="0" borderId="11" xfId="0" applyNumberFormat="1" applyFont="1" applyBorder="1"/>
    <xf numFmtId="10" fontId="0" fillId="0" borderId="5" xfId="0" applyNumberFormat="1" applyBorder="1"/>
    <xf numFmtId="9" fontId="0" fillId="0" borderId="1" xfId="0" applyNumberFormat="1" applyBorder="1"/>
    <xf numFmtId="0" fontId="0" fillId="0" borderId="15" xfId="0" applyBorder="1"/>
    <xf numFmtId="0" fontId="1" fillId="0" borderId="13" xfId="0" applyFont="1" applyBorder="1"/>
    <xf numFmtId="0" fontId="1" fillId="0" borderId="14" xfId="0" applyFont="1" applyBorder="1"/>
    <xf numFmtId="2" fontId="0" fillId="0" borderId="1" xfId="0" applyNumberFormat="1" applyBorder="1"/>
    <xf numFmtId="2" fontId="1" fillId="0" borderId="13" xfId="0" applyNumberFormat="1" applyFont="1" applyBorder="1"/>
    <xf numFmtId="0" fontId="0" fillId="0" borderId="7" xfId="0" applyBorder="1"/>
    <xf numFmtId="2" fontId="0" fillId="0" borderId="16" xfId="0" applyNumberFormat="1" applyBorder="1"/>
    <xf numFmtId="0" fontId="5" fillId="0" borderId="11" xfId="0" applyFont="1" applyBorder="1"/>
    <xf numFmtId="8" fontId="5" fillId="0" borderId="11" xfId="0" applyNumberFormat="1" applyFont="1" applyBorder="1"/>
    <xf numFmtId="39" fontId="5" fillId="0" borderId="11" xfId="0" applyNumberFormat="1" applyFont="1" applyBorder="1"/>
    <xf numFmtId="39" fontId="5" fillId="0" borderId="14" xfId="0" applyNumberFormat="1" applyFont="1" applyBorder="1"/>
    <xf numFmtId="8" fontId="0" fillId="2" borderId="1" xfId="0" applyNumberFormat="1" applyFill="1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8ADA-B2CB-42CE-97A8-BD4B7D90E809}">
  <dimension ref="A2:H25"/>
  <sheetViews>
    <sheetView tabSelected="1" workbookViewId="0">
      <selection activeCell="B22" sqref="B22"/>
    </sheetView>
  </sheetViews>
  <sheetFormatPr defaultRowHeight="14.4" x14ac:dyDescent="0.3"/>
  <cols>
    <col min="1" max="1" width="24.109375" bestFit="1" customWidth="1"/>
    <col min="2" max="2" width="9.77734375" style="2" bestFit="1" customWidth="1"/>
    <col min="3" max="3" width="7.109375" bestFit="1" customWidth="1"/>
    <col min="6" max="6" width="17.44140625" bestFit="1" customWidth="1"/>
    <col min="7" max="7" width="9.77734375" bestFit="1" customWidth="1"/>
    <col min="8" max="8" width="8.77734375" bestFit="1" customWidth="1"/>
  </cols>
  <sheetData>
    <row r="2" spans="1:8" x14ac:dyDescent="0.3">
      <c r="A2" s="1" t="s">
        <v>0</v>
      </c>
    </row>
    <row r="3" spans="1:8" x14ac:dyDescent="0.3">
      <c r="A3" s="3" t="s">
        <v>1</v>
      </c>
      <c r="B3" s="4" t="s">
        <v>2</v>
      </c>
      <c r="C3" s="3">
        <v>17593</v>
      </c>
    </row>
    <row r="4" spans="1:8" x14ac:dyDescent="0.3">
      <c r="A4" s="3" t="s">
        <v>3</v>
      </c>
      <c r="B4" s="4"/>
      <c r="C4" s="5">
        <v>0.41349999999999998</v>
      </c>
      <c r="F4" s="3" t="s">
        <v>18</v>
      </c>
      <c r="G4" s="3"/>
      <c r="H4" s="5">
        <f>C11+(C10*C12)</f>
        <v>0.10430499999999999</v>
      </c>
    </row>
    <row r="5" spans="1:8" x14ac:dyDescent="0.3">
      <c r="A5" s="3" t="s">
        <v>6</v>
      </c>
      <c r="B5" s="4"/>
      <c r="C5" s="5">
        <v>0.48039999999999999</v>
      </c>
      <c r="F5" s="3" t="s">
        <v>19</v>
      </c>
      <c r="G5" s="3" t="s">
        <v>2</v>
      </c>
      <c r="H5" s="3">
        <f>C9*C16</f>
        <v>35676.9</v>
      </c>
    </row>
    <row r="6" spans="1:8" x14ac:dyDescent="0.3">
      <c r="A6" s="3" t="s">
        <v>5</v>
      </c>
      <c r="B6" s="4"/>
      <c r="C6" s="5">
        <v>8.5800000000000001E-2</v>
      </c>
      <c r="F6" s="3" t="s">
        <v>20</v>
      </c>
      <c r="G6" s="3" t="s">
        <v>2</v>
      </c>
      <c r="H6" s="3">
        <f>C9*C14</f>
        <v>46234.35</v>
      </c>
    </row>
    <row r="7" spans="1:8" x14ac:dyDescent="0.3">
      <c r="A7" s="3" t="s">
        <v>4</v>
      </c>
      <c r="B7" s="4"/>
      <c r="C7" s="5">
        <v>0.5847</v>
      </c>
      <c r="F7" s="3" t="s">
        <v>21</v>
      </c>
      <c r="G7" s="3" t="s">
        <v>2</v>
      </c>
      <c r="H7" s="3">
        <v>143800</v>
      </c>
    </row>
    <row r="8" spans="1:8" x14ac:dyDescent="0.3">
      <c r="A8" s="3" t="s">
        <v>7</v>
      </c>
      <c r="B8" s="4"/>
      <c r="C8" s="5">
        <v>0.28710000000000002</v>
      </c>
      <c r="F8" s="3" t="s">
        <v>22</v>
      </c>
      <c r="G8" s="3" t="s">
        <v>2</v>
      </c>
      <c r="H8" s="3">
        <v>146800</v>
      </c>
    </row>
    <row r="9" spans="1:8" x14ac:dyDescent="0.3">
      <c r="A9" s="3" t="s">
        <v>8</v>
      </c>
      <c r="B9" s="4" t="s">
        <v>9</v>
      </c>
      <c r="C9" s="3">
        <v>2427</v>
      </c>
    </row>
    <row r="10" spans="1:8" x14ac:dyDescent="0.3">
      <c r="A10" s="3" t="s">
        <v>10</v>
      </c>
      <c r="B10" s="4"/>
      <c r="C10" s="3">
        <v>1.23</v>
      </c>
    </row>
    <row r="11" spans="1:8" x14ac:dyDescent="0.3">
      <c r="A11" s="3" t="s">
        <v>13</v>
      </c>
      <c r="B11" s="4"/>
      <c r="C11" s="5">
        <v>2.6200000000000001E-2</v>
      </c>
    </row>
    <row r="12" spans="1:8" x14ac:dyDescent="0.3">
      <c r="A12" s="3" t="s">
        <v>11</v>
      </c>
      <c r="B12" s="4"/>
      <c r="C12" s="5">
        <v>6.3500000000000001E-2</v>
      </c>
    </row>
    <row r="13" spans="1:8" x14ac:dyDescent="0.3">
      <c r="A13" s="3" t="s">
        <v>12</v>
      </c>
      <c r="B13" s="4" t="s">
        <v>14</v>
      </c>
      <c r="C13" s="3">
        <v>0.86</v>
      </c>
    </row>
    <row r="14" spans="1:8" x14ac:dyDescent="0.3">
      <c r="A14" s="3" t="s">
        <v>15</v>
      </c>
      <c r="B14" s="4" t="s">
        <v>14</v>
      </c>
      <c r="C14" s="3">
        <v>19.05</v>
      </c>
    </row>
    <row r="15" spans="1:8" x14ac:dyDescent="0.3">
      <c r="A15" s="3" t="s">
        <v>16</v>
      </c>
      <c r="B15" s="4" t="s">
        <v>17</v>
      </c>
      <c r="C15" s="3">
        <f>14.7*0.65</f>
        <v>9.5549999999999997</v>
      </c>
    </row>
    <row r="16" spans="1:8" x14ac:dyDescent="0.3">
      <c r="A16" s="3" t="s">
        <v>16</v>
      </c>
      <c r="B16" s="4" t="s">
        <v>14</v>
      </c>
      <c r="C16" s="3">
        <v>14.7</v>
      </c>
    </row>
    <row r="18" spans="1:2" ht="15" thickBot="1" x14ac:dyDescent="0.35"/>
    <row r="19" spans="1:2" x14ac:dyDescent="0.3">
      <c r="A19" s="45" t="s">
        <v>85</v>
      </c>
      <c r="B19" s="46"/>
    </row>
    <row r="20" spans="1:2" x14ac:dyDescent="0.3">
      <c r="A20" s="15" t="s">
        <v>78</v>
      </c>
      <c r="B20" s="37">
        <v>37.72</v>
      </c>
    </row>
    <row r="21" spans="1:2" x14ac:dyDescent="0.3">
      <c r="A21" s="15" t="s">
        <v>79</v>
      </c>
      <c r="B21" s="38">
        <f>DDM!C10</f>
        <v>21.871675582975644</v>
      </c>
    </row>
    <row r="22" spans="1:2" x14ac:dyDescent="0.3">
      <c r="A22" s="15" t="s">
        <v>80</v>
      </c>
      <c r="B22" s="39">
        <f>Comparables!K4</f>
        <v>19.856939901653799</v>
      </c>
    </row>
    <row r="23" spans="1:2" x14ac:dyDescent="0.3">
      <c r="A23" s="15" t="s">
        <v>81</v>
      </c>
      <c r="B23" s="39">
        <f>Comparables!K5</f>
        <v>16.976697994703578</v>
      </c>
    </row>
    <row r="24" spans="1:2" x14ac:dyDescent="0.3">
      <c r="A24" s="15" t="s">
        <v>82</v>
      </c>
      <c r="B24" s="39">
        <f>Comparables!K6</f>
        <v>14.097</v>
      </c>
    </row>
    <row r="25" spans="1:2" ht="15" thickBot="1" x14ac:dyDescent="0.35">
      <c r="A25" s="18" t="s">
        <v>83</v>
      </c>
      <c r="B25" s="40">
        <f>AVERAGE(B22:B24)</f>
        <v>16.976879298785793</v>
      </c>
    </row>
  </sheetData>
  <mergeCells count="1"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B2F1-BB37-4B7E-82B4-95D5F6FBC4C5}">
  <dimension ref="B1:M37"/>
  <sheetViews>
    <sheetView zoomScale="80" zoomScaleNormal="80" workbookViewId="0">
      <selection activeCell="D16" sqref="D16"/>
    </sheetView>
  </sheetViews>
  <sheetFormatPr defaultRowHeight="14.4" x14ac:dyDescent="0.3"/>
  <cols>
    <col min="1" max="1" width="2.77734375" customWidth="1"/>
    <col min="2" max="2" width="33.33203125" customWidth="1"/>
    <col min="3" max="11" width="17.21875" bestFit="1" customWidth="1"/>
    <col min="12" max="12" width="19.77734375" bestFit="1" customWidth="1"/>
    <col min="13" max="13" width="17.21875" bestFit="1" customWidth="1"/>
  </cols>
  <sheetData>
    <row r="1" spans="2:13" x14ac:dyDescent="0.3">
      <c r="B1" s="12" t="s">
        <v>44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2:13" x14ac:dyDescent="0.3">
      <c r="B2" s="15"/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16" t="s">
        <v>34</v>
      </c>
    </row>
    <row r="3" spans="2:13" x14ac:dyDescent="0.3">
      <c r="B3" s="15"/>
      <c r="C3" s="3">
        <v>2014</v>
      </c>
      <c r="D3" s="3">
        <v>2015</v>
      </c>
      <c r="E3" s="3">
        <v>2016</v>
      </c>
      <c r="F3" s="3">
        <v>2017</v>
      </c>
      <c r="G3" s="3">
        <v>2018</v>
      </c>
      <c r="H3" s="3">
        <v>2019</v>
      </c>
      <c r="I3" s="3">
        <v>2020</v>
      </c>
      <c r="J3" s="3">
        <v>2021</v>
      </c>
      <c r="K3" s="3">
        <v>2022</v>
      </c>
      <c r="L3" s="3">
        <v>2023</v>
      </c>
      <c r="M3" s="16">
        <v>2024</v>
      </c>
    </row>
    <row r="4" spans="2:13" x14ac:dyDescent="0.3">
      <c r="B4" s="15" t="s">
        <v>23</v>
      </c>
      <c r="C4" s="5">
        <v>2.4799999999999999E-2</v>
      </c>
      <c r="D4" s="5">
        <v>2.4799999999999999E-2</v>
      </c>
      <c r="E4" s="5">
        <v>2.4799999999999999E-2</v>
      </c>
      <c r="F4" s="5">
        <v>4.4999999999999998E-2</v>
      </c>
      <c r="G4" s="5">
        <v>4.4999999999999998E-2</v>
      </c>
      <c r="H4" s="5">
        <v>4.4999999999999998E-2</v>
      </c>
      <c r="I4" s="5">
        <v>4.4999999999999998E-2</v>
      </c>
      <c r="J4" s="5">
        <v>4.4999999999999998E-2</v>
      </c>
      <c r="K4" s="5">
        <v>4.4999999999999998E-2</v>
      </c>
      <c r="L4" s="5">
        <v>4.4999999999999998E-2</v>
      </c>
      <c r="M4" s="17">
        <v>0.05</v>
      </c>
    </row>
    <row r="5" spans="2:13" x14ac:dyDescent="0.3">
      <c r="B5" s="15" t="s">
        <v>35</v>
      </c>
      <c r="C5" s="22">
        <f>Valuation!$C$3*(1+FCFE!C4)</f>
        <v>18029.306399999998</v>
      </c>
      <c r="D5" s="22">
        <f>C5*(1+D4)</f>
        <v>18476.433198719995</v>
      </c>
      <c r="E5" s="22">
        <f t="shared" ref="E5:M5" si="0">D5*(1+E4)</f>
        <v>18934.648742048248</v>
      </c>
      <c r="F5" s="22">
        <f t="shared" si="0"/>
        <v>19786.70793544042</v>
      </c>
      <c r="G5" s="22">
        <f t="shared" si="0"/>
        <v>20677.109792535237</v>
      </c>
      <c r="H5" s="22">
        <f t="shared" si="0"/>
        <v>21607.57973319932</v>
      </c>
      <c r="I5" s="22">
        <f t="shared" si="0"/>
        <v>22579.920821193289</v>
      </c>
      <c r="J5" s="22">
        <f t="shared" si="0"/>
        <v>23596.017258146985</v>
      </c>
      <c r="K5" s="22">
        <f t="shared" si="0"/>
        <v>24657.838034763598</v>
      </c>
      <c r="L5" s="22">
        <f t="shared" si="0"/>
        <v>25767.440746327957</v>
      </c>
      <c r="M5" s="23">
        <f t="shared" si="0"/>
        <v>27055.812783644356</v>
      </c>
    </row>
    <row r="6" spans="2:13" x14ac:dyDescent="0.3">
      <c r="B6" s="15" t="s">
        <v>3</v>
      </c>
      <c r="C6" s="22">
        <f>C5*Valuation!$C$4</f>
        <v>7455.1181963999989</v>
      </c>
      <c r="D6" s="22">
        <f>D5*Valuation!$C$4</f>
        <v>7640.0051276707172</v>
      </c>
      <c r="E6" s="22">
        <f>E5*Valuation!$C$4</f>
        <v>7829.4772548369501</v>
      </c>
      <c r="F6" s="22">
        <f>F5*Valuation!$C$4</f>
        <v>8181.8037313046134</v>
      </c>
      <c r="G6" s="22">
        <f>G5*Valuation!$C$4</f>
        <v>8549.9848992133193</v>
      </c>
      <c r="H6" s="22">
        <f>H5*Valuation!$C$4</f>
        <v>8934.7342196779191</v>
      </c>
      <c r="I6" s="22">
        <f>I5*Valuation!$C$4</f>
        <v>9336.7972595634237</v>
      </c>
      <c r="J6" s="22">
        <f>J5*Valuation!$C$4</f>
        <v>9756.9531362437774</v>
      </c>
      <c r="K6" s="22">
        <f>K5*Valuation!$C$4</f>
        <v>10196.016027374748</v>
      </c>
      <c r="L6" s="22">
        <f>L5*Valuation!$C$4</f>
        <v>10654.836748606609</v>
      </c>
      <c r="M6" s="23">
        <f>M5*Valuation!$C$4</f>
        <v>11187.578586036941</v>
      </c>
    </row>
    <row r="7" spans="2:13" x14ac:dyDescent="0.3">
      <c r="B7" s="15" t="s">
        <v>36</v>
      </c>
      <c r="C7" s="22">
        <f>C5-C6</f>
        <v>10574.188203599999</v>
      </c>
      <c r="D7" s="22">
        <f t="shared" ref="D7:M7" si="1">D5-D6</f>
        <v>10836.428071049279</v>
      </c>
      <c r="E7" s="22">
        <f t="shared" si="1"/>
        <v>11105.171487211297</v>
      </c>
      <c r="F7" s="22">
        <f t="shared" si="1"/>
        <v>11604.904204135806</v>
      </c>
      <c r="G7" s="22">
        <f t="shared" si="1"/>
        <v>12127.124893321918</v>
      </c>
      <c r="H7" s="22">
        <f t="shared" si="1"/>
        <v>12672.845513521401</v>
      </c>
      <c r="I7" s="22">
        <f t="shared" si="1"/>
        <v>13243.123561629865</v>
      </c>
      <c r="J7" s="22">
        <f t="shared" si="1"/>
        <v>13839.064121903208</v>
      </c>
      <c r="K7" s="22">
        <f t="shared" si="1"/>
        <v>14461.82200738885</v>
      </c>
      <c r="L7" s="22">
        <f t="shared" si="1"/>
        <v>15112.603997721348</v>
      </c>
      <c r="M7" s="23">
        <f t="shared" si="1"/>
        <v>15868.234197607415</v>
      </c>
    </row>
    <row r="8" spans="2:13" x14ac:dyDescent="0.3">
      <c r="B8" s="15" t="s">
        <v>37</v>
      </c>
      <c r="C8" s="22">
        <f>C5*Valuation!$C$5</f>
        <v>8661.2787945599994</v>
      </c>
      <c r="D8" s="22">
        <f>D5*Valuation!$C$5</f>
        <v>8876.0785086650849</v>
      </c>
      <c r="E8" s="22">
        <f>E5*Valuation!$C$5</f>
        <v>9096.205255679979</v>
      </c>
      <c r="F8" s="22">
        <f>F5*Valuation!$C$5</f>
        <v>9505.5344921855776</v>
      </c>
      <c r="G8" s="22">
        <f>G5*Valuation!$C$5</f>
        <v>9933.2835443339281</v>
      </c>
      <c r="H8" s="22">
        <f>H5*Valuation!$C$5</f>
        <v>10380.281303828953</v>
      </c>
      <c r="I8" s="22">
        <f>I5*Valuation!$C$5</f>
        <v>10847.393962501255</v>
      </c>
      <c r="J8" s="22">
        <f>J5*Valuation!$C$5</f>
        <v>11335.526690813811</v>
      </c>
      <c r="K8" s="22">
        <f>K5*Valuation!$C$5</f>
        <v>11845.625391900432</v>
      </c>
      <c r="L8" s="22">
        <f>L5*Valuation!$C$5</f>
        <v>12378.678534535949</v>
      </c>
      <c r="M8" s="23">
        <f>M5*Valuation!$C$5</f>
        <v>12997.612461262748</v>
      </c>
    </row>
    <row r="9" spans="2:13" s="1" customFormat="1" x14ac:dyDescent="0.3">
      <c r="B9" s="20" t="s">
        <v>38</v>
      </c>
      <c r="C9" s="24">
        <f>C7+C8</f>
        <v>19235.466998159998</v>
      </c>
      <c r="D9" s="24">
        <f t="shared" ref="D9:M9" si="2">D7+D8</f>
        <v>19712.506579714362</v>
      </c>
      <c r="E9" s="24">
        <f t="shared" si="2"/>
        <v>20201.376742891276</v>
      </c>
      <c r="F9" s="24">
        <f t="shared" si="2"/>
        <v>21110.438696321384</v>
      </c>
      <c r="G9" s="24">
        <f t="shared" si="2"/>
        <v>22060.408437655846</v>
      </c>
      <c r="H9" s="24">
        <f t="shared" si="2"/>
        <v>23053.126817350356</v>
      </c>
      <c r="I9" s="24">
        <f t="shared" si="2"/>
        <v>24090.517524131123</v>
      </c>
      <c r="J9" s="24">
        <f t="shared" si="2"/>
        <v>25174.590812717019</v>
      </c>
      <c r="K9" s="24">
        <f t="shared" si="2"/>
        <v>26307.447399289282</v>
      </c>
      <c r="L9" s="24">
        <f t="shared" si="2"/>
        <v>27491.282532257297</v>
      </c>
      <c r="M9" s="27">
        <f t="shared" si="2"/>
        <v>28865.846658870163</v>
      </c>
    </row>
    <row r="10" spans="2:13" x14ac:dyDescent="0.3">
      <c r="B10" s="15" t="s">
        <v>39</v>
      </c>
      <c r="C10" s="22">
        <f>C5*Valuation!$C$6</f>
        <v>1546.9144891199999</v>
      </c>
      <c r="D10" s="22">
        <f>D5*Valuation!$C$6</f>
        <v>1585.2779684501756</v>
      </c>
      <c r="E10" s="22">
        <f>E5*Valuation!$C$6</f>
        <v>1624.5928620677398</v>
      </c>
      <c r="F10" s="22">
        <f>F5*Valuation!$C$6</f>
        <v>1697.6995408607879</v>
      </c>
      <c r="G10" s="22">
        <f>G5*Valuation!$C$6</f>
        <v>1774.0960201995233</v>
      </c>
      <c r="H10" s="22">
        <f>H5*Valuation!$C$6</f>
        <v>1853.9303411085016</v>
      </c>
      <c r="I10" s="22">
        <f>I5*Valuation!$C$6</f>
        <v>1937.3572064583843</v>
      </c>
      <c r="J10" s="22">
        <f>J5*Valuation!$C$6</f>
        <v>2024.5382807490114</v>
      </c>
      <c r="K10" s="22">
        <f>K5*Valuation!$C$6</f>
        <v>2115.6425033827168</v>
      </c>
      <c r="L10" s="22">
        <f>L5*Valuation!$C$6</f>
        <v>2210.8464160349386</v>
      </c>
      <c r="M10" s="23">
        <f>M5*Valuation!$C$6</f>
        <v>2321.3887368366859</v>
      </c>
    </row>
    <row r="11" spans="2:13" s="1" customFormat="1" x14ac:dyDescent="0.3">
      <c r="B11" s="20" t="s">
        <v>40</v>
      </c>
      <c r="C11" s="24">
        <f>C9-C10</f>
        <v>17688.552509039997</v>
      </c>
      <c r="D11" s="24">
        <f t="shared" ref="D11:M11" si="3">D9-D10</f>
        <v>18127.228611264185</v>
      </c>
      <c r="E11" s="24">
        <f t="shared" si="3"/>
        <v>18576.783880823536</v>
      </c>
      <c r="F11" s="24">
        <f t="shared" si="3"/>
        <v>19412.739155460597</v>
      </c>
      <c r="G11" s="24">
        <f t="shared" si="3"/>
        <v>20286.312417456324</v>
      </c>
      <c r="H11" s="24">
        <f t="shared" si="3"/>
        <v>21199.196476241854</v>
      </c>
      <c r="I11" s="24">
        <f t="shared" si="3"/>
        <v>22153.160317672737</v>
      </c>
      <c r="J11" s="24">
        <f t="shared" si="3"/>
        <v>23150.052531968009</v>
      </c>
      <c r="K11" s="24">
        <f t="shared" si="3"/>
        <v>24191.804895906564</v>
      </c>
      <c r="L11" s="24">
        <f t="shared" si="3"/>
        <v>25280.436116222358</v>
      </c>
      <c r="M11" s="27">
        <f t="shared" si="3"/>
        <v>26544.457922033478</v>
      </c>
    </row>
    <row r="12" spans="2:13" x14ac:dyDescent="0.3">
      <c r="B12" s="15" t="s">
        <v>41</v>
      </c>
      <c r="C12" s="22">
        <f>C5*Valuation!$C$7</f>
        <v>10541.735452079998</v>
      </c>
      <c r="D12" s="22">
        <f>D5*Valuation!$C$7</f>
        <v>10803.170491291581</v>
      </c>
      <c r="E12" s="22">
        <f>E5*Valuation!$C$7</f>
        <v>11071.089119475611</v>
      </c>
      <c r="F12" s="22">
        <f>F5*Valuation!$C$7</f>
        <v>11569.288129852013</v>
      </c>
      <c r="G12" s="22">
        <f>G5*Valuation!$C$7</f>
        <v>12089.906095695353</v>
      </c>
      <c r="H12" s="22">
        <f>H5*Valuation!$C$7</f>
        <v>12633.951870001642</v>
      </c>
      <c r="I12" s="22">
        <f>I5*Valuation!$C$7</f>
        <v>13202.479704151716</v>
      </c>
      <c r="J12" s="22">
        <f>J5*Valuation!$C$7</f>
        <v>13796.591290838542</v>
      </c>
      <c r="K12" s="22">
        <f>K5*Valuation!$C$7</f>
        <v>14417.437898926275</v>
      </c>
      <c r="L12" s="22">
        <f>L5*Valuation!$C$7</f>
        <v>15066.222604377956</v>
      </c>
      <c r="M12" s="23">
        <f>M5*Valuation!$C$7</f>
        <v>15819.533734596855</v>
      </c>
    </row>
    <row r="13" spans="2:13" x14ac:dyDescent="0.3">
      <c r="B13" s="15" t="s">
        <v>42</v>
      </c>
      <c r="C13" s="22">
        <f>C11-C12</f>
        <v>7146.8170569599988</v>
      </c>
      <c r="D13" s="22">
        <f t="shared" ref="D13:M13" si="4">D11-D12</f>
        <v>7324.0581199726039</v>
      </c>
      <c r="E13" s="22">
        <f t="shared" si="4"/>
        <v>7505.6947613479242</v>
      </c>
      <c r="F13" s="22">
        <f t="shared" si="4"/>
        <v>7843.4510256085832</v>
      </c>
      <c r="G13" s="22">
        <f t="shared" si="4"/>
        <v>8196.406321760971</v>
      </c>
      <c r="H13" s="22">
        <f t="shared" si="4"/>
        <v>8565.2446062402123</v>
      </c>
      <c r="I13" s="22">
        <f t="shared" si="4"/>
        <v>8950.6806135210209</v>
      </c>
      <c r="J13" s="22">
        <f t="shared" si="4"/>
        <v>9353.4612411294675</v>
      </c>
      <c r="K13" s="22">
        <f t="shared" si="4"/>
        <v>9774.3669969802886</v>
      </c>
      <c r="L13" s="22">
        <f t="shared" si="4"/>
        <v>10214.213511844402</v>
      </c>
      <c r="M13" s="23">
        <f t="shared" si="4"/>
        <v>10724.924187436623</v>
      </c>
    </row>
    <row r="14" spans="2:13" x14ac:dyDescent="0.3">
      <c r="B14" s="15" t="s">
        <v>43</v>
      </c>
      <c r="C14" s="22">
        <f>C13*Valuation!$C$8</f>
        <v>2051.8511770532159</v>
      </c>
      <c r="D14" s="22">
        <f>D13*Valuation!$C$8</f>
        <v>2102.7370862441348</v>
      </c>
      <c r="E14" s="22">
        <f>E13*Valuation!$C$8</f>
        <v>2154.8849659829893</v>
      </c>
      <c r="F14" s="22">
        <f>F13*Valuation!$C$8</f>
        <v>2251.8547894522244</v>
      </c>
      <c r="G14" s="22">
        <f>G13*Valuation!$C$8</f>
        <v>2353.1882549775751</v>
      </c>
      <c r="H14" s="22">
        <f>H13*Valuation!$C$8</f>
        <v>2459.0817264515649</v>
      </c>
      <c r="I14" s="22">
        <f>I13*Valuation!$C$8</f>
        <v>2569.7404041418854</v>
      </c>
      <c r="J14" s="22">
        <f>J13*Valuation!$C$8</f>
        <v>2685.3787223282702</v>
      </c>
      <c r="K14" s="22">
        <f>K13*Valuation!$C$8</f>
        <v>2806.2207648330409</v>
      </c>
      <c r="L14" s="22">
        <f>L13*Valuation!$C$8</f>
        <v>2932.5006992505282</v>
      </c>
      <c r="M14" s="23">
        <f>M13*Valuation!$C$8</f>
        <v>3079.1257342130548</v>
      </c>
    </row>
    <row r="15" spans="2:13" s="1" customFormat="1" x14ac:dyDescent="0.3">
      <c r="B15" s="20" t="s">
        <v>45</v>
      </c>
      <c r="C15" s="24">
        <f>C13-C14</f>
        <v>5094.9658799067829</v>
      </c>
      <c r="D15" s="24">
        <f t="shared" ref="D15:M15" si="5">D13-D14</f>
        <v>5221.321033728469</v>
      </c>
      <c r="E15" s="24">
        <f t="shared" si="5"/>
        <v>5350.8097953649349</v>
      </c>
      <c r="F15" s="24">
        <f t="shared" si="5"/>
        <v>5591.5962361563588</v>
      </c>
      <c r="G15" s="24">
        <f t="shared" si="5"/>
        <v>5843.2180667833964</v>
      </c>
      <c r="H15" s="24">
        <f t="shared" si="5"/>
        <v>6106.1628797886478</v>
      </c>
      <c r="I15" s="24">
        <f t="shared" si="5"/>
        <v>6380.9402093791359</v>
      </c>
      <c r="J15" s="24">
        <f t="shared" si="5"/>
        <v>6668.0825188011968</v>
      </c>
      <c r="K15" s="24">
        <f t="shared" si="5"/>
        <v>6968.1462321472482</v>
      </c>
      <c r="L15" s="24">
        <f t="shared" si="5"/>
        <v>7281.7128125938743</v>
      </c>
      <c r="M15" s="27">
        <f t="shared" si="5"/>
        <v>7645.7984532235687</v>
      </c>
    </row>
    <row r="16" spans="2:13" ht="15" thickBot="1" x14ac:dyDescent="0.35">
      <c r="B16" s="21" t="s">
        <v>46</v>
      </c>
      <c r="C16" s="25">
        <f>C15/Valuation!$C$9</f>
        <v>2.0992854882186993</v>
      </c>
      <c r="D16" s="25">
        <f>D15/Valuation!$C$9</f>
        <v>2.1513477683265219</v>
      </c>
      <c r="E16" s="25">
        <f>E15/Valuation!$C$9</f>
        <v>2.2047011929810196</v>
      </c>
      <c r="F16" s="25">
        <f>F15/Valuation!$C$9</f>
        <v>2.3039127466651665</v>
      </c>
      <c r="G16" s="25">
        <f>G15/Valuation!$C$9</f>
        <v>2.4075888202650995</v>
      </c>
      <c r="H16" s="25">
        <f>H15/Valuation!$C$9</f>
        <v>2.5159303171770282</v>
      </c>
      <c r="I16" s="25">
        <f>I15/Valuation!$C$9</f>
        <v>2.6291471814499943</v>
      </c>
      <c r="J16" s="25">
        <f>J15/Valuation!$C$9</f>
        <v>2.7474588046152437</v>
      </c>
      <c r="K16" s="25">
        <f>K15/Valuation!$C$9</f>
        <v>2.8710944508229286</v>
      </c>
      <c r="L16" s="25">
        <f>L15/Valuation!$C$9</f>
        <v>3.0002937011099604</v>
      </c>
      <c r="M16" s="26">
        <f>M15/Valuation!$C$9</f>
        <v>3.1503083861654591</v>
      </c>
    </row>
    <row r="17" spans="2:13" ht="15" thickBot="1" x14ac:dyDescent="0.35"/>
    <row r="18" spans="2:13" ht="15" thickBot="1" x14ac:dyDescent="0.35">
      <c r="B18" s="42" t="s">
        <v>0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</row>
    <row r="19" spans="2:13" x14ac:dyDescent="0.3">
      <c r="B19" s="6" t="s">
        <v>47</v>
      </c>
      <c r="M19" s="7"/>
    </row>
    <row r="20" spans="2:13" x14ac:dyDescent="0.3">
      <c r="B20" s="6" t="s">
        <v>48</v>
      </c>
      <c r="M20" s="7"/>
    </row>
    <row r="21" spans="2:13" ht="15" thickBot="1" x14ac:dyDescent="0.35">
      <c r="B21" s="8" t="s">
        <v>49</v>
      </c>
      <c r="C21" s="28">
        <v>0.05</v>
      </c>
      <c r="D21" s="9"/>
      <c r="E21" s="9"/>
      <c r="F21" s="9"/>
      <c r="G21" s="9"/>
      <c r="H21" s="9"/>
      <c r="I21" s="9"/>
      <c r="J21" s="9"/>
      <c r="K21" s="9"/>
      <c r="L21" s="9"/>
      <c r="M21" s="10"/>
    </row>
    <row r="23" spans="2:13" ht="15" thickBot="1" x14ac:dyDescent="0.35"/>
    <row r="24" spans="2:13" x14ac:dyDescent="0.3">
      <c r="B24" s="12" t="s">
        <v>56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4"/>
    </row>
    <row r="25" spans="2:13" x14ac:dyDescent="0.3">
      <c r="B25" s="15"/>
      <c r="C25" s="3" t="s">
        <v>24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29</v>
      </c>
      <c r="I25" s="3" t="s">
        <v>30</v>
      </c>
      <c r="J25" s="3" t="s">
        <v>31</v>
      </c>
      <c r="K25" s="3" t="s">
        <v>32</v>
      </c>
      <c r="L25" s="3" t="s">
        <v>33</v>
      </c>
      <c r="M25" s="16" t="s">
        <v>34</v>
      </c>
    </row>
    <row r="26" spans="2:13" x14ac:dyDescent="0.3">
      <c r="B26" s="15"/>
      <c r="C26" s="3">
        <v>2014</v>
      </c>
      <c r="D26" s="3">
        <v>2015</v>
      </c>
      <c r="E26" s="3">
        <v>2016</v>
      </c>
      <c r="F26" s="3">
        <v>2017</v>
      </c>
      <c r="G26" s="3">
        <v>2018</v>
      </c>
      <c r="H26" s="3">
        <v>2019</v>
      </c>
      <c r="I26" s="3">
        <v>2020</v>
      </c>
      <c r="J26" s="3">
        <v>2021</v>
      </c>
      <c r="K26" s="3">
        <v>2022</v>
      </c>
      <c r="L26" s="3">
        <v>2023</v>
      </c>
      <c r="M26" s="16">
        <v>2024</v>
      </c>
    </row>
    <row r="27" spans="2:13" x14ac:dyDescent="0.3">
      <c r="B27" s="15" t="s">
        <v>45</v>
      </c>
      <c r="C27" s="22">
        <f>C15</f>
        <v>5094.9658799067829</v>
      </c>
      <c r="D27" s="22">
        <f t="shared" ref="D27:M27" si="6">D15</f>
        <v>5221.321033728469</v>
      </c>
      <c r="E27" s="22">
        <f t="shared" si="6"/>
        <v>5350.8097953649349</v>
      </c>
      <c r="F27" s="22">
        <f t="shared" si="6"/>
        <v>5591.5962361563588</v>
      </c>
      <c r="G27" s="22">
        <f t="shared" si="6"/>
        <v>5843.2180667833964</v>
      </c>
      <c r="H27" s="22">
        <f t="shared" si="6"/>
        <v>6106.1628797886478</v>
      </c>
      <c r="I27" s="22">
        <f t="shared" si="6"/>
        <v>6380.9402093791359</v>
      </c>
      <c r="J27" s="22">
        <f t="shared" si="6"/>
        <v>6668.0825188011968</v>
      </c>
      <c r="K27" s="22">
        <f t="shared" si="6"/>
        <v>6968.1462321472482</v>
      </c>
      <c r="L27" s="22">
        <f t="shared" si="6"/>
        <v>7281.7128125938743</v>
      </c>
      <c r="M27" s="23">
        <f t="shared" si="6"/>
        <v>7645.7984532235687</v>
      </c>
    </row>
    <row r="28" spans="2:13" x14ac:dyDescent="0.3">
      <c r="B28" s="15" t="s">
        <v>50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16"/>
    </row>
    <row r="29" spans="2:13" x14ac:dyDescent="0.3">
      <c r="B29" s="15" t="s">
        <v>51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16"/>
    </row>
    <row r="30" spans="2:13" x14ac:dyDescent="0.3">
      <c r="B30" s="15" t="s">
        <v>52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16"/>
    </row>
    <row r="31" spans="2:13" x14ac:dyDescent="0.3">
      <c r="B31" s="15" t="s">
        <v>53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16"/>
    </row>
    <row r="32" spans="2:13" x14ac:dyDescent="0.3">
      <c r="B32" s="15" t="s">
        <v>54</v>
      </c>
      <c r="C32" s="22">
        <f>C27</f>
        <v>5094.9658799067829</v>
      </c>
      <c r="D32" s="22">
        <f t="shared" ref="D32:M32" si="7">D27</f>
        <v>5221.321033728469</v>
      </c>
      <c r="E32" s="22">
        <f t="shared" si="7"/>
        <v>5350.8097953649349</v>
      </c>
      <c r="F32" s="22">
        <f t="shared" si="7"/>
        <v>5591.5962361563588</v>
      </c>
      <c r="G32" s="22">
        <f t="shared" si="7"/>
        <v>5843.2180667833964</v>
      </c>
      <c r="H32" s="22">
        <f t="shared" si="7"/>
        <v>6106.1628797886478</v>
      </c>
      <c r="I32" s="22">
        <f t="shared" si="7"/>
        <v>6380.9402093791359</v>
      </c>
      <c r="J32" s="22">
        <f t="shared" si="7"/>
        <v>6668.0825188011968</v>
      </c>
      <c r="K32" s="22">
        <f t="shared" si="7"/>
        <v>6968.1462321472482</v>
      </c>
      <c r="L32" s="22">
        <f t="shared" si="7"/>
        <v>7281.7128125938743</v>
      </c>
      <c r="M32" s="23">
        <f t="shared" si="7"/>
        <v>7645.7984532235687</v>
      </c>
    </row>
    <row r="33" spans="2:13" x14ac:dyDescent="0.3">
      <c r="B33" s="15" t="s">
        <v>55</v>
      </c>
      <c r="C33" s="3"/>
      <c r="D33" s="3"/>
      <c r="E33" s="3"/>
      <c r="F33" s="3"/>
      <c r="G33" s="3"/>
      <c r="H33" s="3"/>
      <c r="I33" s="3"/>
      <c r="J33" s="3"/>
      <c r="K33" s="3"/>
      <c r="L33" s="3">
        <f>L32*(1+C21)/(Valuation!H4-FCFE!C21)</f>
        <v>140793.63692521074</v>
      </c>
      <c r="M33" s="16"/>
    </row>
    <row r="34" spans="2:13" ht="15" thickBot="1" x14ac:dyDescent="0.35">
      <c r="B34" s="18" t="s">
        <v>57</v>
      </c>
      <c r="C34" s="25">
        <f>C32+C33</f>
        <v>5094.9658799067829</v>
      </c>
      <c r="D34" s="25">
        <f t="shared" ref="D34:M34" si="8">D32+D33</f>
        <v>5221.321033728469</v>
      </c>
      <c r="E34" s="25">
        <f t="shared" si="8"/>
        <v>5350.8097953649349</v>
      </c>
      <c r="F34" s="25">
        <f t="shared" si="8"/>
        <v>5591.5962361563588</v>
      </c>
      <c r="G34" s="25">
        <f t="shared" si="8"/>
        <v>5843.2180667833964</v>
      </c>
      <c r="H34" s="25">
        <f t="shared" si="8"/>
        <v>6106.1628797886478</v>
      </c>
      <c r="I34" s="25">
        <f t="shared" si="8"/>
        <v>6380.9402093791359</v>
      </c>
      <c r="J34" s="25">
        <f t="shared" si="8"/>
        <v>6668.0825188011968</v>
      </c>
      <c r="K34" s="25">
        <f t="shared" si="8"/>
        <v>6968.1462321472482</v>
      </c>
      <c r="L34" s="25">
        <f t="shared" si="8"/>
        <v>148075.34973780462</v>
      </c>
      <c r="M34" s="25">
        <f t="shared" si="8"/>
        <v>7645.7984532235687</v>
      </c>
    </row>
    <row r="36" spans="2:13" x14ac:dyDescent="0.3">
      <c r="B36" s="11" t="s">
        <v>58</v>
      </c>
      <c r="C36" s="41">
        <f>NPV(Valuation!$H$4,FCFE!D34:M34)</f>
        <v>94377.873479227725</v>
      </c>
    </row>
    <row r="37" spans="2:13" x14ac:dyDescent="0.3">
      <c r="B37" s="11" t="s">
        <v>59</v>
      </c>
      <c r="C37" s="41">
        <f>C36/Valuation!C9</f>
        <v>38.886639258025433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87D7-1514-4E8C-9F2A-3E44672D94BE}">
  <dimension ref="B1:M10"/>
  <sheetViews>
    <sheetView workbookViewId="0">
      <selection activeCell="C12" sqref="C12"/>
    </sheetView>
  </sheetViews>
  <sheetFormatPr defaultRowHeight="14.4" x14ac:dyDescent="0.3"/>
  <cols>
    <col min="2" max="2" width="17.21875" bestFit="1" customWidth="1"/>
  </cols>
  <sheetData>
    <row r="1" spans="2:13" ht="15" thickBot="1" x14ac:dyDescent="0.35"/>
    <row r="2" spans="2:13" x14ac:dyDescent="0.3">
      <c r="B2" s="47" t="s">
        <v>64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</row>
    <row r="3" spans="2:13" x14ac:dyDescent="0.3">
      <c r="B3" s="15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16" t="s">
        <v>34</v>
      </c>
    </row>
    <row r="4" spans="2:13" x14ac:dyDescent="0.3">
      <c r="B4" s="15"/>
      <c r="C4" s="3">
        <v>2014</v>
      </c>
      <c r="D4" s="3">
        <v>2015</v>
      </c>
      <c r="E4" s="3">
        <v>2016</v>
      </c>
      <c r="F4" s="3">
        <v>2017</v>
      </c>
      <c r="G4" s="3">
        <v>2018</v>
      </c>
      <c r="H4" s="3">
        <v>2019</v>
      </c>
      <c r="I4" s="3">
        <v>2020</v>
      </c>
      <c r="J4" s="3">
        <v>2021</v>
      </c>
      <c r="K4" s="3">
        <v>2022</v>
      </c>
      <c r="L4" s="3">
        <v>2023</v>
      </c>
      <c r="M4" s="16">
        <v>2024</v>
      </c>
    </row>
    <row r="5" spans="2:13" x14ac:dyDescent="0.3">
      <c r="B5" s="15" t="s">
        <v>60</v>
      </c>
      <c r="C5" s="3"/>
      <c r="D5" s="29">
        <v>0.03</v>
      </c>
      <c r="E5" s="29">
        <v>0.03</v>
      </c>
      <c r="F5" s="29">
        <v>0.03</v>
      </c>
      <c r="G5" s="29">
        <v>0.05</v>
      </c>
      <c r="H5" s="29">
        <v>0.05</v>
      </c>
      <c r="I5" s="29">
        <v>0.05</v>
      </c>
      <c r="J5" s="29">
        <v>0.05</v>
      </c>
      <c r="K5" s="29">
        <v>0.05</v>
      </c>
      <c r="L5" s="29">
        <v>0.05</v>
      </c>
      <c r="M5" s="16"/>
    </row>
    <row r="6" spans="2:13" x14ac:dyDescent="0.3">
      <c r="B6" s="15" t="s">
        <v>61</v>
      </c>
      <c r="C6" s="3">
        <v>0.86</v>
      </c>
      <c r="D6" s="3">
        <v>0.89</v>
      </c>
      <c r="E6" s="3">
        <v>0.91</v>
      </c>
      <c r="F6" s="3">
        <v>0.94</v>
      </c>
      <c r="G6" s="3">
        <v>0.99</v>
      </c>
      <c r="H6" s="3">
        <v>1.04</v>
      </c>
      <c r="I6" s="3">
        <v>1.0900000000000001</v>
      </c>
      <c r="J6" s="3">
        <v>1.1399999999999999</v>
      </c>
      <c r="K6" s="3">
        <v>1.2</v>
      </c>
      <c r="L6" s="3">
        <v>1.26</v>
      </c>
      <c r="M6" s="16"/>
    </row>
    <row r="7" spans="2:13" x14ac:dyDescent="0.3">
      <c r="B7" s="15" t="s">
        <v>62</v>
      </c>
      <c r="C7" s="3"/>
      <c r="D7" s="3"/>
      <c r="E7" s="3"/>
      <c r="F7" s="3"/>
      <c r="G7" s="3"/>
      <c r="H7" s="3"/>
      <c r="I7" s="3"/>
      <c r="J7" s="3"/>
      <c r="K7" s="3"/>
      <c r="L7" s="33">
        <f>L6*(1+7%)/(10.43%-7%)</f>
        <v>39.3061224489796</v>
      </c>
      <c r="M7" s="16"/>
    </row>
    <row r="8" spans="2:13" s="1" customFormat="1" ht="15" thickBot="1" x14ac:dyDescent="0.35">
      <c r="B8" s="21" t="s">
        <v>63</v>
      </c>
      <c r="C8" s="31"/>
      <c r="D8" s="31">
        <f>D6+D7</f>
        <v>0.89</v>
      </c>
      <c r="E8" s="31">
        <f t="shared" ref="E8:L8" si="0">E6+E7</f>
        <v>0.91</v>
      </c>
      <c r="F8" s="31">
        <f t="shared" si="0"/>
        <v>0.94</v>
      </c>
      <c r="G8" s="31">
        <f t="shared" si="0"/>
        <v>0.99</v>
      </c>
      <c r="H8" s="31">
        <f t="shared" si="0"/>
        <v>1.04</v>
      </c>
      <c r="I8" s="31">
        <f t="shared" si="0"/>
        <v>1.0900000000000001</v>
      </c>
      <c r="J8" s="31">
        <f t="shared" si="0"/>
        <v>1.1399999999999999</v>
      </c>
      <c r="K8" s="31">
        <f t="shared" si="0"/>
        <v>1.2</v>
      </c>
      <c r="L8" s="34">
        <f t="shared" si="0"/>
        <v>40.566122448979598</v>
      </c>
      <c r="M8" s="32"/>
    </row>
    <row r="9" spans="2:13" ht="15" thickBot="1" x14ac:dyDescent="0.35"/>
    <row r="10" spans="2:13" ht="15" thickBot="1" x14ac:dyDescent="0.35">
      <c r="B10" s="30" t="s">
        <v>65</v>
      </c>
      <c r="C10" s="36">
        <f>NPV(Valuation!H4,DDM!D8:L8)</f>
        <v>21.871675582975644</v>
      </c>
    </row>
  </sheetData>
  <mergeCells count="1">
    <mergeCell ref="B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1B79-2137-4C87-A750-C3B5672D98C3}">
  <dimension ref="B1:L7"/>
  <sheetViews>
    <sheetView workbookViewId="0">
      <selection activeCell="L7" sqref="L7"/>
    </sheetView>
  </sheetViews>
  <sheetFormatPr defaultRowHeight="14.4" x14ac:dyDescent="0.3"/>
  <cols>
    <col min="1" max="1" width="3.109375" customWidth="1"/>
    <col min="2" max="8" width="9" customWidth="1"/>
    <col min="9" max="9" width="13.109375" bestFit="1" customWidth="1"/>
    <col min="10" max="10" width="9" customWidth="1"/>
    <col min="11" max="11" width="26.109375" bestFit="1" customWidth="1"/>
    <col min="12" max="12" width="26" bestFit="1" customWidth="1"/>
  </cols>
  <sheetData>
    <row r="1" spans="2:12" ht="15" thickBot="1" x14ac:dyDescent="0.35"/>
    <row r="2" spans="2:12" x14ac:dyDescent="0.3">
      <c r="B2" s="35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x14ac:dyDescent="0.3">
      <c r="B3" s="15"/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76</v>
      </c>
      <c r="L3" s="16" t="s">
        <v>84</v>
      </c>
    </row>
    <row r="4" spans="2:12" x14ac:dyDescent="0.3">
      <c r="B4" s="15" t="s">
        <v>66</v>
      </c>
      <c r="C4" s="3">
        <v>9.23</v>
      </c>
      <c r="D4" s="3">
        <v>0.12</v>
      </c>
      <c r="E4" s="3">
        <v>0.1</v>
      </c>
      <c r="F4" s="3">
        <v>6.69</v>
      </c>
      <c r="G4" s="3">
        <v>11.16</v>
      </c>
      <c r="H4" s="3">
        <v>10.02</v>
      </c>
      <c r="I4" s="3">
        <v>21.77</v>
      </c>
      <c r="J4" s="3">
        <f>AVERAGE(D4:I4)</f>
        <v>8.31</v>
      </c>
      <c r="K4" s="22">
        <f>C4*FCFE!D16</f>
        <v>19.856939901653799</v>
      </c>
      <c r="L4" s="23">
        <f>J4*FCFE!D16</f>
        <v>17.877699954793396</v>
      </c>
    </row>
    <row r="5" spans="2:12" x14ac:dyDescent="0.3">
      <c r="B5" s="15" t="s">
        <v>77</v>
      </c>
      <c r="C5" s="3">
        <v>2.23</v>
      </c>
      <c r="D5" s="3">
        <v>3.08</v>
      </c>
      <c r="E5" s="3">
        <v>2.21</v>
      </c>
      <c r="F5" s="3">
        <v>2.0699999999999998</v>
      </c>
      <c r="G5" s="3">
        <v>2.11</v>
      </c>
      <c r="H5" s="3">
        <v>3.39</v>
      </c>
      <c r="I5" s="3">
        <v>1.24</v>
      </c>
      <c r="J5" s="3">
        <f>AVERAGE(D5:I5)</f>
        <v>2.35</v>
      </c>
      <c r="K5" s="22">
        <f>C5*FCFE!D5/Valuation!C9</f>
        <v>16.976697994703578</v>
      </c>
      <c r="L5" s="23">
        <f>J5*FCFE!D5/Valuation!C9</f>
        <v>17.890242281414086</v>
      </c>
    </row>
    <row r="6" spans="2:12" x14ac:dyDescent="0.3">
      <c r="B6" s="15" t="s">
        <v>67</v>
      </c>
      <c r="C6" s="3">
        <v>0.74</v>
      </c>
      <c r="D6" s="3">
        <v>0.71</v>
      </c>
      <c r="E6" s="3">
        <v>0.89</v>
      </c>
      <c r="F6" s="3">
        <v>0.62</v>
      </c>
      <c r="G6" s="3">
        <v>1.17</v>
      </c>
      <c r="H6" s="3">
        <v>0.92</v>
      </c>
      <c r="I6" s="3">
        <v>0.55000000000000004</v>
      </c>
      <c r="J6" s="3">
        <f>AVERAGE(D6:I6)</f>
        <v>0.81</v>
      </c>
      <c r="K6" s="22">
        <f>C6*Valuation!C14</f>
        <v>14.097</v>
      </c>
      <c r="L6" s="23">
        <f>J6*Valuation!C14</f>
        <v>15.430500000000002</v>
      </c>
    </row>
    <row r="7" spans="2:12" ht="15" thickBot="1" x14ac:dyDescent="0.35">
      <c r="B7" s="18"/>
      <c r="C7" s="19"/>
      <c r="D7" s="19"/>
      <c r="E7" s="19"/>
      <c r="F7" s="19"/>
      <c r="G7" s="19"/>
      <c r="H7" s="19"/>
      <c r="I7" s="19"/>
      <c r="J7" s="19"/>
      <c r="K7" s="25">
        <f>AVERAGE(K4:K6)</f>
        <v>16.976879298785793</v>
      </c>
      <c r="L7" s="26">
        <f>AVERAGE(L4:L6)</f>
        <v>17.06614741206916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Valuation</vt:lpstr>
      <vt:lpstr>FCFE</vt:lpstr>
      <vt:lpstr>DDM</vt:lpstr>
      <vt:lpstr>Comparables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Kumari Mishra</dc:creator>
  <cp:lastModifiedBy>SANDEEPAN DAS</cp:lastModifiedBy>
  <dcterms:created xsi:type="dcterms:W3CDTF">2024-07-10T05:55:19Z</dcterms:created>
  <dcterms:modified xsi:type="dcterms:W3CDTF">2024-07-10T08:28:01Z</dcterms:modified>
</cp:coreProperties>
</file>